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9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1186EEE7-7E0C-4034-B2E0-CF3DFC03E72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ANKING" sheetId="11" r:id="rId1"/>
    <sheet name="LLAVES" sheetId="10" r:id="rId2"/>
    <sheet name="CLASIFICATORIO" sheetId="9" r:id="rId3"/>
    <sheet name="FACE DE GRUPOS" sheetId="5" r:id="rId4"/>
    <sheet name="L. GENERAL" sheetId="3" r:id="rId5"/>
    <sheet name="FILTRO JUGADORES" sheetId="4" r:id="rId6"/>
    <sheet name="PLANILLA X 3 SETS" sheetId="6" r:id="rId7"/>
  </sheets>
  <definedNames>
    <definedName name="_xlnm._FilterDatabase" localSheetId="2" hidden="1">CLASIFICATORIO!$B$4:$AA$4</definedName>
    <definedName name="_xlnm._FilterDatabase" localSheetId="5" hidden="1">'FILTRO JUGADORES'!$B$2:$C$2</definedName>
    <definedName name="_xlnm._FilterDatabase" localSheetId="1" hidden="1">LLAVES!$B$1:$I$1</definedName>
    <definedName name="_xlnm._FilterDatabase" localSheetId="0" hidden="1">RANKING!$C$8:$J$8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9" l="1"/>
  <c r="P11" i="9"/>
  <c r="R11" i="9" s="1"/>
  <c r="Q10" i="9"/>
  <c r="P10" i="9"/>
  <c r="R10" i="9" s="1"/>
  <c r="Q9" i="9"/>
  <c r="P9" i="9"/>
  <c r="R9" i="9" s="1"/>
  <c r="Q8" i="9"/>
  <c r="P8" i="9"/>
  <c r="R8" i="9" s="1"/>
  <c r="Q7" i="9"/>
  <c r="P7" i="9"/>
  <c r="R7" i="9" s="1"/>
  <c r="Q5" i="9"/>
  <c r="P5" i="9"/>
  <c r="R5" i="9" s="1"/>
  <c r="I12" i="9"/>
  <c r="H11" i="9"/>
  <c r="G11" i="9"/>
  <c r="I11" i="9" s="1"/>
  <c r="H10" i="9"/>
  <c r="G10" i="9"/>
  <c r="H9" i="9"/>
  <c r="G9" i="9"/>
  <c r="I9" i="9" s="1"/>
  <c r="H8" i="9"/>
  <c r="G8" i="9"/>
  <c r="I8" i="9" s="1"/>
  <c r="H7" i="9"/>
  <c r="G7" i="9"/>
  <c r="I7" i="9" s="1"/>
  <c r="H6" i="9"/>
  <c r="G6" i="9"/>
  <c r="I6" i="9" s="1"/>
  <c r="H5" i="9"/>
  <c r="G5" i="9"/>
  <c r="I5" i="9" s="1"/>
  <c r="H16" i="3"/>
  <c r="G16" i="3"/>
  <c r="H7" i="3"/>
  <c r="G7" i="3"/>
  <c r="H23" i="3"/>
  <c r="G23" i="3"/>
  <c r="H9" i="3"/>
  <c r="G9" i="3"/>
  <c r="H2" i="3"/>
  <c r="G2" i="3"/>
  <c r="H11" i="3"/>
  <c r="G11" i="3"/>
  <c r="H22" i="3"/>
  <c r="G22" i="3"/>
  <c r="H8" i="3"/>
  <c r="G8" i="3"/>
  <c r="H26" i="3"/>
  <c r="G26" i="3"/>
  <c r="H19" i="3"/>
  <c r="G19" i="3"/>
  <c r="H12" i="3"/>
  <c r="G12" i="3"/>
  <c r="H4" i="3"/>
  <c r="G4" i="3"/>
  <c r="H21" i="3"/>
  <c r="G21" i="3"/>
  <c r="H14" i="3"/>
  <c r="G14" i="3"/>
  <c r="H18" i="3"/>
  <c r="I18" i="3" s="1"/>
  <c r="G18" i="3"/>
  <c r="H10" i="3"/>
  <c r="G10" i="3"/>
  <c r="H25" i="3"/>
  <c r="G25" i="3"/>
  <c r="H13" i="3"/>
  <c r="G13" i="3"/>
  <c r="H5" i="3"/>
  <c r="G5" i="3"/>
  <c r="I5" i="3" s="1"/>
  <c r="H20" i="3"/>
  <c r="R17" i="3"/>
  <c r="R16" i="3"/>
  <c r="R15" i="3"/>
  <c r="M17" i="3"/>
  <c r="M16" i="3"/>
  <c r="M15" i="3"/>
  <c r="R13" i="3"/>
  <c r="R12" i="3"/>
  <c r="R11" i="3"/>
  <c r="M13" i="3"/>
  <c r="M12" i="3"/>
  <c r="M11" i="3"/>
  <c r="R9" i="3"/>
  <c r="R8" i="3"/>
  <c r="R7" i="3"/>
  <c r="M9" i="3"/>
  <c r="M8" i="3"/>
  <c r="M7" i="3"/>
  <c r="R5" i="3"/>
  <c r="R4" i="3"/>
  <c r="R3" i="3"/>
  <c r="M5" i="3"/>
  <c r="M4" i="3"/>
  <c r="M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7" i="3"/>
  <c r="I15" i="3"/>
  <c r="I13" i="3"/>
  <c r="I11" i="3"/>
  <c r="I10" i="3"/>
  <c r="I9" i="3"/>
  <c r="I8" i="3"/>
  <c r="I6" i="3"/>
  <c r="I2" i="3"/>
  <c r="H35" i="11"/>
  <c r="J35" i="11" s="1"/>
  <c r="I34" i="11"/>
  <c r="H34" i="11"/>
  <c r="J34" i="11" s="1"/>
  <c r="I33" i="11"/>
  <c r="J33" i="11" s="1"/>
  <c r="I32" i="11"/>
  <c r="H32" i="11"/>
  <c r="J32" i="11" s="1"/>
  <c r="I31" i="11"/>
  <c r="H31" i="11"/>
  <c r="I30" i="11"/>
  <c r="J30" i="11" s="1"/>
  <c r="I29" i="11"/>
  <c r="H29" i="11"/>
  <c r="I28" i="11"/>
  <c r="H28" i="11"/>
  <c r="I27" i="11"/>
  <c r="H27" i="11"/>
  <c r="O35" i="11"/>
  <c r="P35" i="11" s="1"/>
  <c r="M35" i="11"/>
  <c r="N35" i="11" s="1"/>
  <c r="O34" i="11"/>
  <c r="P34" i="11" s="1"/>
  <c r="M34" i="11"/>
  <c r="N34" i="11" s="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9" i="11"/>
  <c r="I23" i="11"/>
  <c r="H23" i="11"/>
  <c r="I19" i="11"/>
  <c r="H19" i="11"/>
  <c r="I24" i="11"/>
  <c r="H24" i="11"/>
  <c r="I11" i="11"/>
  <c r="H11" i="11"/>
  <c r="I20" i="11"/>
  <c r="H20" i="11"/>
  <c r="F20" i="11"/>
  <c r="I22" i="11"/>
  <c r="H22" i="11"/>
  <c r="I17" i="11"/>
  <c r="H17" i="11"/>
  <c r="F17" i="11"/>
  <c r="I18" i="11"/>
  <c r="H18" i="11"/>
  <c r="I21" i="11"/>
  <c r="H21" i="11"/>
  <c r="F21" i="11"/>
  <c r="I10" i="9" l="1"/>
  <c r="I7" i="3"/>
  <c r="I3" i="3"/>
  <c r="I14" i="3"/>
  <c r="I12" i="3"/>
  <c r="I16" i="3"/>
  <c r="J28" i="11"/>
  <c r="J31" i="11"/>
  <c r="J29" i="11"/>
  <c r="J27" i="11"/>
  <c r="I16" i="11" l="1"/>
  <c r="H16" i="11"/>
  <c r="F16" i="11"/>
  <c r="E16" i="11"/>
  <c r="I15" i="11"/>
  <c r="H15" i="11"/>
  <c r="F15" i="11"/>
  <c r="E15" i="11"/>
  <c r="I13" i="11"/>
  <c r="H13" i="11"/>
  <c r="F13" i="11"/>
  <c r="E13" i="11"/>
  <c r="I14" i="11"/>
  <c r="H14" i="11"/>
  <c r="F14" i="11"/>
  <c r="E14" i="11"/>
  <c r="I12" i="11"/>
  <c r="H12" i="11"/>
  <c r="F12" i="11"/>
  <c r="I10" i="11"/>
  <c r="H10" i="11"/>
  <c r="M10" i="11"/>
  <c r="N10" i="11" s="1"/>
  <c r="O10" i="11"/>
  <c r="P10" i="11" s="1"/>
  <c r="M11" i="11"/>
  <c r="N11" i="11" s="1"/>
  <c r="O11" i="11"/>
  <c r="P11" i="11" s="1"/>
  <c r="M12" i="11"/>
  <c r="N12" i="11" s="1"/>
  <c r="O12" i="11"/>
  <c r="P12" i="11" s="1"/>
  <c r="M13" i="11"/>
  <c r="N13" i="11" s="1"/>
  <c r="O13" i="11"/>
  <c r="P13" i="11" s="1"/>
  <c r="M14" i="11"/>
  <c r="N14" i="11" s="1"/>
  <c r="O14" i="11"/>
  <c r="P14" i="11" s="1"/>
  <c r="M15" i="11"/>
  <c r="N15" i="11" s="1"/>
  <c r="O15" i="11"/>
  <c r="P15" i="11" s="1"/>
  <c r="M16" i="11"/>
  <c r="N16" i="11" s="1"/>
  <c r="O16" i="11"/>
  <c r="P16" i="11" s="1"/>
  <c r="M17" i="11"/>
  <c r="N17" i="11" s="1"/>
  <c r="O17" i="11"/>
  <c r="P17" i="11" s="1"/>
  <c r="M18" i="11"/>
  <c r="N18" i="11" s="1"/>
  <c r="O18" i="11"/>
  <c r="P18" i="11" s="1"/>
  <c r="M19" i="11"/>
  <c r="N19" i="11" s="1"/>
  <c r="O19" i="11"/>
  <c r="P19" i="11" s="1"/>
  <c r="M20" i="11"/>
  <c r="N20" i="11" s="1"/>
  <c r="O20" i="11"/>
  <c r="P20" i="11" s="1"/>
  <c r="M21" i="11"/>
  <c r="N21" i="11" s="1"/>
  <c r="O21" i="11"/>
  <c r="P21" i="11" s="1"/>
  <c r="M22" i="11"/>
  <c r="N22" i="11" s="1"/>
  <c r="O22" i="11"/>
  <c r="P22" i="11" s="1"/>
  <c r="M23" i="11"/>
  <c r="N23" i="11" s="1"/>
  <c r="O23" i="11"/>
  <c r="P23" i="11" s="1"/>
  <c r="M24" i="11"/>
  <c r="N24" i="11" s="1"/>
  <c r="O24" i="11"/>
  <c r="P24" i="11" s="1"/>
  <c r="M25" i="11"/>
  <c r="N25" i="11" s="1"/>
  <c r="O25" i="11"/>
  <c r="P25" i="11" s="1"/>
  <c r="M26" i="11"/>
  <c r="N26" i="11" s="1"/>
  <c r="O26" i="11"/>
  <c r="P26" i="11" s="1"/>
  <c r="M27" i="11"/>
  <c r="N27" i="11" s="1"/>
  <c r="O27" i="11"/>
  <c r="P27" i="11" s="1"/>
  <c r="M28" i="11"/>
  <c r="N28" i="11" s="1"/>
  <c r="O28" i="11"/>
  <c r="P28" i="11" s="1"/>
  <c r="M29" i="11"/>
  <c r="N29" i="11" s="1"/>
  <c r="O29" i="11"/>
  <c r="P29" i="11" s="1"/>
  <c r="M30" i="11"/>
  <c r="N30" i="11" s="1"/>
  <c r="O30" i="11"/>
  <c r="P30" i="11" s="1"/>
  <c r="M31" i="11"/>
  <c r="N31" i="11" s="1"/>
  <c r="O31" i="11"/>
  <c r="P31" i="11" s="1"/>
  <c r="M32" i="11"/>
  <c r="N32" i="11" s="1"/>
  <c r="O32" i="11"/>
  <c r="P32" i="11" s="1"/>
  <c r="M33" i="11"/>
  <c r="N33" i="11" s="1"/>
  <c r="O33" i="11"/>
  <c r="P33" i="11" s="1"/>
  <c r="O9" i="11"/>
  <c r="P9" i="11" s="1"/>
  <c r="M9" i="11"/>
  <c r="N9" i="11" s="1"/>
  <c r="I9" i="11"/>
  <c r="H9" i="11"/>
  <c r="J9" i="11" s="1"/>
  <c r="U34" i="11"/>
  <c r="U33" i="11"/>
  <c r="W33" i="11" s="1"/>
  <c r="Y30" i="11" s="1"/>
  <c r="AA24" i="11" s="1"/>
  <c r="U31" i="11"/>
  <c r="U30" i="11"/>
  <c r="W30" i="11" s="1"/>
  <c r="U28" i="11"/>
  <c r="U27" i="11"/>
  <c r="W27" i="11" s="1"/>
  <c r="U25" i="11"/>
  <c r="U24" i="11"/>
  <c r="W24" i="11" s="1"/>
  <c r="Y24" i="11" s="1"/>
  <c r="U22" i="11"/>
  <c r="U21" i="11"/>
  <c r="W21" i="11" s="1"/>
  <c r="U19" i="11"/>
  <c r="W18" i="11" s="1"/>
  <c r="Y18" i="11" s="1"/>
  <c r="U18" i="11"/>
  <c r="U16" i="11"/>
  <c r="W15" i="11" s="1"/>
  <c r="U15" i="11"/>
  <c r="U13" i="11"/>
  <c r="U12" i="11"/>
  <c r="W12" i="11" s="1"/>
  <c r="Y12" i="11" s="1"/>
  <c r="AA12" i="11" s="1"/>
  <c r="AC19" i="11" s="1"/>
  <c r="I26" i="11"/>
  <c r="H26" i="11"/>
  <c r="I25" i="11"/>
  <c r="H25" i="11"/>
  <c r="J21" i="11"/>
  <c r="J20" i="11"/>
  <c r="J24" i="11"/>
  <c r="J19" i="11"/>
  <c r="B10" i="11"/>
  <c r="B11" i="11" s="1"/>
  <c r="B12" i="11" s="1"/>
  <c r="G5" i="10"/>
  <c r="H5" i="10"/>
  <c r="N17" i="10"/>
  <c r="P16" i="10" s="1"/>
  <c r="N5" i="10"/>
  <c r="P4" i="10" s="1"/>
  <c r="N26" i="10"/>
  <c r="N23" i="10"/>
  <c r="N20" i="10"/>
  <c r="P19" i="10" s="1"/>
  <c r="N14" i="10"/>
  <c r="P13" i="10" s="1"/>
  <c r="N11" i="10"/>
  <c r="P10" i="10" s="1"/>
  <c r="N8" i="10"/>
  <c r="P7" i="10" s="1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N25" i="10"/>
  <c r="N22" i="10"/>
  <c r="N19" i="10"/>
  <c r="N16" i="10"/>
  <c r="N13" i="10"/>
  <c r="N10" i="10"/>
  <c r="N7" i="10"/>
  <c r="N4" i="10"/>
  <c r="G10" i="10"/>
  <c r="I10" i="10" s="1"/>
  <c r="H9" i="10"/>
  <c r="G9" i="10"/>
  <c r="H8" i="10"/>
  <c r="G8" i="10"/>
  <c r="H7" i="10"/>
  <c r="G7" i="10"/>
  <c r="H6" i="10"/>
  <c r="G6" i="10"/>
  <c r="H4" i="10"/>
  <c r="G4" i="10"/>
  <c r="H3" i="10"/>
  <c r="G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H2" i="10"/>
  <c r="G2" i="10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E22" i="5"/>
  <c r="Q23" i="5"/>
  <c r="Q22" i="5"/>
  <c r="Q21" i="5"/>
  <c r="C22" i="5"/>
  <c r="C21" i="5"/>
  <c r="AE15" i="5"/>
  <c r="AE14" i="5"/>
  <c r="AE13" i="5"/>
  <c r="Q15" i="5"/>
  <c r="C13" i="5"/>
  <c r="AE31" i="5"/>
  <c r="AE30" i="5"/>
  <c r="AE29" i="5"/>
  <c r="Q31" i="5"/>
  <c r="Q29" i="5"/>
  <c r="Q14" i="5"/>
  <c r="C15" i="5"/>
  <c r="C14" i="5"/>
  <c r="Q30" i="5"/>
  <c r="AP32" i="5"/>
  <c r="AP29" i="5"/>
  <c r="AP31" i="5"/>
  <c r="AP30" i="5"/>
  <c r="AB48" i="5"/>
  <c r="N48" i="5"/>
  <c r="AP40" i="5"/>
  <c r="AB40" i="5"/>
  <c r="N40" i="5"/>
  <c r="AB32" i="5"/>
  <c r="N32" i="5"/>
  <c r="AP24" i="5"/>
  <c r="AB24" i="5"/>
  <c r="N24" i="5"/>
  <c r="AP16" i="5"/>
  <c r="AB16" i="5"/>
  <c r="AB47" i="5"/>
  <c r="AB46" i="5"/>
  <c r="AB45" i="5"/>
  <c r="N47" i="5"/>
  <c r="N46" i="5"/>
  <c r="N45" i="5"/>
  <c r="AP39" i="5"/>
  <c r="AP38" i="5"/>
  <c r="AP37" i="5"/>
  <c r="AB39" i="5"/>
  <c r="AB38" i="5"/>
  <c r="AB37" i="5"/>
  <c r="N39" i="5"/>
  <c r="N38" i="5"/>
  <c r="N37" i="5"/>
  <c r="C39" i="5"/>
  <c r="C38" i="5"/>
  <c r="C37" i="5"/>
  <c r="AB31" i="5"/>
  <c r="AB30" i="5"/>
  <c r="AB29" i="5"/>
  <c r="N31" i="5"/>
  <c r="N30" i="5"/>
  <c r="N29" i="5"/>
  <c r="AP23" i="5"/>
  <c r="AP22" i="5"/>
  <c r="AP21" i="5"/>
  <c r="AB23" i="5"/>
  <c r="AB22" i="5"/>
  <c r="AB21" i="5"/>
  <c r="N23" i="5"/>
  <c r="N22" i="5"/>
  <c r="N21" i="5"/>
  <c r="AP15" i="5"/>
  <c r="AP14" i="5"/>
  <c r="AP13" i="5"/>
  <c r="AB15" i="5"/>
  <c r="AB14" i="5"/>
  <c r="AB13" i="5"/>
  <c r="Q48" i="5"/>
  <c r="Q47" i="5"/>
  <c r="Q46" i="5"/>
  <c r="Q45" i="5"/>
  <c r="C48" i="5"/>
  <c r="C47" i="5"/>
  <c r="C46" i="5"/>
  <c r="C45" i="5"/>
  <c r="AE40" i="5"/>
  <c r="AE39" i="5"/>
  <c r="AE38" i="5"/>
  <c r="AE37" i="5"/>
  <c r="Q40" i="5"/>
  <c r="Q39" i="5"/>
  <c r="Q38" i="5"/>
  <c r="Q37" i="5"/>
  <c r="C40" i="5"/>
  <c r="AE32" i="5"/>
  <c r="Q32" i="5"/>
  <c r="C32" i="5"/>
  <c r="C31" i="5"/>
  <c r="C30" i="5"/>
  <c r="C29" i="5"/>
  <c r="AE24" i="5"/>
  <c r="AE23" i="5"/>
  <c r="AE21" i="5"/>
  <c r="Q24" i="5"/>
  <c r="C24" i="5"/>
  <c r="C23" i="5"/>
  <c r="Q16" i="5"/>
  <c r="AE16" i="5"/>
  <c r="Q13" i="5"/>
  <c r="N16" i="5"/>
  <c r="N15" i="5"/>
  <c r="N14" i="5"/>
  <c r="N13" i="5"/>
  <c r="C16" i="5"/>
  <c r="W8" i="5"/>
  <c r="C11" i="5"/>
  <c r="AE35" i="5" s="1"/>
  <c r="A3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E27" i="5" l="1"/>
  <c r="R4" i="10"/>
  <c r="R16" i="10"/>
  <c r="J16" i="11"/>
  <c r="B13" i="1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J11" i="11"/>
  <c r="J14" i="11"/>
  <c r="J13" i="11"/>
  <c r="J15" i="11"/>
  <c r="J22" i="11"/>
  <c r="J25" i="11"/>
  <c r="J12" i="11"/>
  <c r="J23" i="11"/>
  <c r="J26" i="11"/>
  <c r="J10" i="11"/>
  <c r="J17" i="11"/>
  <c r="J18" i="11"/>
  <c r="P22" i="10"/>
  <c r="P25" i="10"/>
  <c r="R22" i="10" s="1"/>
  <c r="T16" i="10" s="1"/>
  <c r="R10" i="10"/>
  <c r="T4" i="10" s="1"/>
  <c r="I18" i="10"/>
  <c r="I11" i="10"/>
  <c r="I16" i="10"/>
  <c r="I19" i="10"/>
  <c r="I13" i="10"/>
  <c r="I17" i="10"/>
  <c r="I14" i="10"/>
  <c r="I12" i="10"/>
  <c r="I4" i="10"/>
  <c r="I15" i="10"/>
  <c r="I6" i="10"/>
  <c r="I3" i="10"/>
  <c r="I7" i="10"/>
  <c r="I2" i="10"/>
  <c r="I9" i="10"/>
  <c r="I5" i="10"/>
  <c r="I8" i="10"/>
  <c r="C35" i="5"/>
  <c r="C27" i="5"/>
  <c r="C19" i="5"/>
  <c r="Q27" i="5"/>
  <c r="AE11" i="5"/>
  <c r="C43" i="5"/>
  <c r="Q19" i="5"/>
  <c r="AE19" i="5" s="1"/>
  <c r="Q11" i="5"/>
  <c r="Q43" i="5"/>
  <c r="Q35" i="5"/>
  <c r="V11" i="10" l="1"/>
  <c r="I4" i="3"/>
</calcChain>
</file>

<file path=xl/sharedStrings.xml><?xml version="1.0" encoding="utf-8"?>
<sst xmlns="http://schemas.openxmlformats.org/spreadsheetml/2006/main" count="576" uniqueCount="126">
  <si>
    <t>NOMBRE Y APELLIDO</t>
  </si>
  <si>
    <t>CLUB O CIUDAD</t>
  </si>
  <si>
    <t>PUNTOS</t>
  </si>
  <si>
    <t>S.G.</t>
  </si>
  <si>
    <t>S.P</t>
  </si>
  <si>
    <t>CAR</t>
  </si>
  <si>
    <t>ENT</t>
  </si>
  <si>
    <t>PROMEDIO</t>
  </si>
  <si>
    <t>JORGE CUMBAL</t>
  </si>
  <si>
    <t>TEAM GUANCHA</t>
  </si>
  <si>
    <t>EDGAR PAZMIÑO</t>
  </si>
  <si>
    <t>CLUB ROMA</t>
  </si>
  <si>
    <t>CRISTIAN GUANCHA</t>
  </si>
  <si>
    <t>EDWIN LOPEZ</t>
  </si>
  <si>
    <t>JUANCHO PAZMIÑO</t>
  </si>
  <si>
    <t>GABRIEL ORTIZ</t>
  </si>
  <si>
    <t>LA OFICINA</t>
  </si>
  <si>
    <t>MIGUEL BEDOYA</t>
  </si>
  <si>
    <t>ZONA 30</t>
  </si>
  <si>
    <t>JHON QUENGUAN</t>
  </si>
  <si>
    <t xml:space="preserve">ESTEBAN AYALA </t>
  </si>
  <si>
    <t>JORGE HERNANDEZ</t>
  </si>
  <si>
    <t>RAMIRO MAFLA</t>
  </si>
  <si>
    <t>JHON ACOSTA</t>
  </si>
  <si>
    <t>PABLO GETIAL</t>
  </si>
  <si>
    <t>CRISTIAN SALAZAR</t>
  </si>
  <si>
    <t>LESTER LEON</t>
  </si>
  <si>
    <t>ANDRES BEDOYA</t>
  </si>
  <si>
    <t>ALEX BURBANO</t>
  </si>
  <si>
    <t>JULIO REINA</t>
  </si>
  <si>
    <t>FINALISTAS</t>
  </si>
  <si>
    <t>PTS</t>
  </si>
  <si>
    <t>CAMPEON</t>
  </si>
  <si>
    <t>DANIEL RODRIGUEZ</t>
  </si>
  <si>
    <t>DARIO MANTILLA</t>
  </si>
  <si>
    <t>EIVER GRIJALVA</t>
  </si>
  <si>
    <t>ISRAEL SALVATIERRA</t>
  </si>
  <si>
    <t>JHON A. BETHANCOUR</t>
  </si>
  <si>
    <t>OSCAR CEBALLOS</t>
  </si>
  <si>
    <t>MAVERICK</t>
  </si>
  <si>
    <t>RICARDO VELA</t>
  </si>
  <si>
    <t>IVAN GAMBOA</t>
  </si>
  <si>
    <t xml:space="preserve">SORTEO DE JUGADORES  </t>
  </si>
  <si>
    <t>N°</t>
  </si>
  <si>
    <t>JUGADOR</t>
  </si>
  <si>
    <t>HCAT</t>
  </si>
  <si>
    <t>G</t>
  </si>
  <si>
    <t>OFICINA</t>
  </si>
  <si>
    <t>******</t>
  </si>
  <si>
    <t>AA</t>
  </si>
  <si>
    <t>BB</t>
  </si>
  <si>
    <t>ROMA</t>
  </si>
  <si>
    <t>CC</t>
  </si>
  <si>
    <t>DD</t>
  </si>
  <si>
    <t>EE</t>
  </si>
  <si>
    <t>FF</t>
  </si>
  <si>
    <t>GG</t>
  </si>
  <si>
    <t>HH</t>
  </si>
  <si>
    <t>A</t>
  </si>
  <si>
    <t>B</t>
  </si>
  <si>
    <t>C</t>
  </si>
  <si>
    <t>*****</t>
  </si>
  <si>
    <t>II</t>
  </si>
  <si>
    <t>JJ</t>
  </si>
  <si>
    <t>KK</t>
  </si>
  <si>
    <t>LL</t>
  </si>
  <si>
    <t>MM</t>
  </si>
  <si>
    <t>NN</t>
  </si>
  <si>
    <t>TORNEO  MUNICIPAL DE BILLAR A 3 BANDAS</t>
  </si>
  <si>
    <r>
      <rPr>
        <sz val="21"/>
        <color rgb="FFFFC000"/>
        <rFont val="Abadi"/>
        <family val="2"/>
      </rPr>
      <t>CLACIFICATORIO AL TORNEO INTERNACIONAL</t>
    </r>
    <r>
      <rPr>
        <b/>
        <sz val="21"/>
        <color rgb="FFFFC000"/>
        <rFont val="Abadi"/>
        <family val="2"/>
      </rPr>
      <t xml:space="preserve"> FERIA DE LAS FLORES EN MEDELLIN </t>
    </r>
    <r>
      <rPr>
        <sz val="21"/>
        <color rgb="FFFFC000"/>
        <rFont val="Abadi"/>
        <family val="2"/>
      </rPr>
      <t>DEL 03 AL 09 DE AGOSTO 2025</t>
    </r>
  </si>
  <si>
    <t>GRUPO 1</t>
  </si>
  <si>
    <t>GRUPO 2</t>
  </si>
  <si>
    <t>GRUPO 3</t>
  </si>
  <si>
    <t xml:space="preserve">Hora: </t>
  </si>
  <si>
    <t>DEPORTISTA</t>
  </si>
  <si>
    <t>DELEGACION</t>
  </si>
  <si>
    <t>1°</t>
  </si>
  <si>
    <t>2°</t>
  </si>
  <si>
    <t>3°</t>
  </si>
  <si>
    <t>4°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</si>
  <si>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</si>
  <si>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</si>
  <si>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</si>
  <si>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</si>
  <si>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</si>
  <si>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</si>
  <si>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</si>
  <si>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</si>
  <si>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</si>
  <si>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</si>
  <si>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</si>
  <si>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r>
      <rPr>
        <sz val="26"/>
        <color rgb="FFFFC000"/>
        <rFont val="Abadi"/>
        <family val="2"/>
      </rPr>
      <t>CLACIFICATORIO AL TORNEO INTERNACIONAL</t>
    </r>
    <r>
      <rPr>
        <b/>
        <sz val="26"/>
        <color rgb="FFFFC000"/>
        <rFont val="Abadi"/>
        <family val="2"/>
      </rPr>
      <t xml:space="preserve"> FERIA DE LAS FLORES EN MEDELLIN  </t>
    </r>
    <r>
      <rPr>
        <sz val="26"/>
        <color rgb="FFFFC000"/>
        <rFont val="Abadi"/>
        <family val="2"/>
      </rPr>
      <t>DEL 03 AL 09 DE AGOSTO 2025</t>
    </r>
  </si>
  <si>
    <t>DEPORTISTA  A :</t>
  </si>
  <si>
    <t xml:space="preserve">JUEZ : </t>
  </si>
  <si>
    <r>
      <t xml:space="preserve">DEPORTISTA  </t>
    </r>
    <r>
      <rPr>
        <b/>
        <sz val="18"/>
        <color rgb="FFEE0000"/>
        <rFont val="ADLaM Display"/>
      </rPr>
      <t>B</t>
    </r>
    <r>
      <rPr>
        <b/>
        <sz val="18"/>
        <color theme="1"/>
        <rFont val="ADLaM Display"/>
      </rPr>
      <t xml:space="preserve"> : </t>
    </r>
  </si>
  <si>
    <t>SET 1</t>
  </si>
  <si>
    <t>SET 2</t>
  </si>
  <si>
    <t>SET 3</t>
  </si>
  <si>
    <t>DEPORTISTA  A</t>
  </si>
  <si>
    <r>
      <t xml:space="preserve">DEPORTISTA  </t>
    </r>
    <r>
      <rPr>
        <sz val="14"/>
        <color rgb="FFEE0000"/>
        <rFont val="ADLaM Display"/>
      </rPr>
      <t>B</t>
    </r>
  </si>
  <si>
    <t>TOTAL</t>
  </si>
  <si>
    <t>GANADOR SET 1</t>
  </si>
  <si>
    <t>GANADOR SET 2</t>
  </si>
  <si>
    <t>GANADOR SET 3</t>
  </si>
  <si>
    <t>FIRMA DEL GANADOR DE PARTIDA</t>
  </si>
  <si>
    <t>NOMBRE DEL DEPORTISTA  A</t>
  </si>
  <si>
    <r>
      <t xml:space="preserve">NOMBRE DEL DEPORTISTA  </t>
    </r>
    <r>
      <rPr>
        <b/>
        <sz val="15"/>
        <color rgb="FFEE0000"/>
        <rFont val="ADLaM Display"/>
      </rPr>
      <t>B</t>
    </r>
  </si>
  <si>
    <t>puntos ranking</t>
  </si>
  <si>
    <t>total</t>
  </si>
  <si>
    <t xml:space="preserve">PODIO </t>
  </si>
  <si>
    <t>i n c r e m e n t o</t>
  </si>
  <si>
    <r>
      <rPr>
        <sz val="12"/>
        <color rgb="FFFFC000"/>
        <rFont val="Abadi"/>
        <family val="2"/>
      </rPr>
      <t>CLACIFICATORIO AL TORNEO INTERNACIONAL</t>
    </r>
    <r>
      <rPr>
        <b/>
        <sz val="12"/>
        <color rgb="FFFFC000"/>
        <rFont val="Abadi"/>
        <family val="2"/>
      </rPr>
      <t xml:space="preserve"> FERIA DE LAS FLORES EN MEDELLIN </t>
    </r>
    <r>
      <rPr>
        <sz val="12"/>
        <color rgb="FFFFC000"/>
        <rFont val="Abadi"/>
        <family val="2"/>
      </rPr>
      <t>DEL 03 AL 09 DE AGOSTO 2025</t>
    </r>
  </si>
  <si>
    <t xml:space="preserve">RESUMEN </t>
  </si>
  <si>
    <t>RESUMEN</t>
  </si>
  <si>
    <t xml:space="preserve">NOMBRE DEL JUGADOR </t>
  </si>
  <si>
    <t>X</t>
  </si>
  <si>
    <t>TOTAL CARAMBOLAS</t>
  </si>
  <si>
    <t>TOTAL ENTRADAS</t>
  </si>
  <si>
    <t>SET GANADOS</t>
  </si>
  <si>
    <r>
      <t xml:space="preserve">DEPORTISTA  </t>
    </r>
    <r>
      <rPr>
        <b/>
        <sz val="28"/>
        <color rgb="FFFFFF00"/>
        <rFont val="ADLaM Display"/>
      </rPr>
      <t xml:space="preserve">B : </t>
    </r>
  </si>
  <si>
    <t xml:space="preserve">2da. RONDA DE 3 // FACE DE GRUPOS </t>
  </si>
  <si>
    <t>A2da.    RONDA  DE 3  //   FACE DE GRUPOS   -   12/JULIO/2025</t>
  </si>
  <si>
    <t>MILSON REALPE</t>
  </si>
  <si>
    <t>CUPO RELAMPAGO</t>
  </si>
  <si>
    <t>XXX</t>
  </si>
  <si>
    <t>HAROLD QUEVEDO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</si>
</sst>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&quot;$&quot;\ #,##0"/>
    <numFmt numFmtId="166" formatCode="#,##0.000"/>
    <numFmt numFmtId="167" formatCode="#,##0.0"/>
    <numFmt numFmtId="168" formatCode="[$-240A]d&quot; de &quot;mmmm&quot; de &quot;yyyy;@"/>
  </numFmts>
  <fonts count="1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 tint="-9.9978637043366805E-2"/>
      <name val="Boucherie Block"/>
      <family val="34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masis MT Pro"/>
      <family val="1"/>
    </font>
    <font>
      <sz val="9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2"/>
      <color theme="1"/>
      <name val="Arial Narrow"/>
      <family val="2"/>
    </font>
    <font>
      <b/>
      <sz val="12"/>
      <color theme="1"/>
      <name val="Amasis MT Pro Black"/>
      <family val="1"/>
    </font>
    <font>
      <sz val="16"/>
      <color theme="1"/>
      <name val="Aptos Narrow"/>
      <family val="2"/>
      <scheme val="minor"/>
    </font>
    <font>
      <sz val="14"/>
      <color theme="1"/>
      <name val="Amasis MT Pro Black"/>
      <family val="1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gency FB"/>
      <family val="2"/>
    </font>
    <font>
      <b/>
      <sz val="12"/>
      <color theme="2" tint="-0.89999084444715716"/>
      <name val="Amasis MT Pro"/>
      <family val="1"/>
    </font>
    <font>
      <sz val="16"/>
      <color theme="1" tint="4.9989318521683403E-2"/>
      <name val="Amasis MT Pro Black"/>
      <family val="1"/>
    </font>
    <font>
      <b/>
      <sz val="12"/>
      <color theme="8" tint="-0.499984740745262"/>
      <name val="Amasis MT Pro"/>
      <family val="1"/>
    </font>
    <font>
      <b/>
      <sz val="14"/>
      <color rgb="FFFFFF00"/>
      <name val="Amasis MT Pro Black"/>
      <family val="1"/>
    </font>
    <font>
      <b/>
      <sz val="14"/>
      <color theme="1" tint="4.9989318521683403E-2"/>
      <name val="Agency FB"/>
      <family val="2"/>
    </font>
    <font>
      <sz val="11"/>
      <color theme="1" tint="4.9989318521683403E-2"/>
      <name val="Aptos Narrow"/>
      <family val="2"/>
      <scheme val="minor"/>
    </font>
    <font>
      <sz val="14"/>
      <color theme="1" tint="4.9989318521683403E-2"/>
      <name val="Amasis MT Pro Black"/>
      <family val="1"/>
    </font>
    <font>
      <sz val="16"/>
      <color theme="1" tint="4.9989318521683403E-2"/>
      <name val="Aptos Narrow"/>
      <family val="2"/>
      <scheme val="minor"/>
    </font>
    <font>
      <sz val="15"/>
      <color theme="1"/>
      <name val="Amasis MT Pro Black"/>
      <family val="1"/>
    </font>
    <font>
      <sz val="11"/>
      <color theme="1"/>
      <name val="Garamond"/>
      <family val="1"/>
    </font>
    <font>
      <sz val="24"/>
      <color theme="1"/>
      <name val="Garamond"/>
      <family val="1"/>
    </font>
    <font>
      <sz val="20"/>
      <color theme="1"/>
      <name val="Garamond"/>
      <family val="1"/>
    </font>
    <font>
      <b/>
      <sz val="13"/>
      <color theme="1"/>
      <name val="Amasis MT Pro Light"/>
      <family val="1"/>
    </font>
    <font>
      <sz val="26"/>
      <color theme="1"/>
      <name val="Amasis MT Pro Black"/>
      <family val="1"/>
    </font>
    <font>
      <b/>
      <sz val="18"/>
      <color theme="4" tint="-0.499984740745262"/>
      <name val="Amasis MT Pro Black"/>
      <family val="1"/>
    </font>
    <font>
      <b/>
      <sz val="11"/>
      <color theme="4" tint="-0.499984740745262"/>
      <name val="Aptos Narrow"/>
      <family val="2"/>
      <scheme val="minor"/>
    </font>
    <font>
      <b/>
      <sz val="11"/>
      <color theme="0"/>
      <name val="Amasis MT Pro"/>
      <family val="1"/>
    </font>
    <font>
      <b/>
      <sz val="14"/>
      <color theme="1" tint="4.9989318521683403E-2"/>
      <name val="Arial"/>
      <family val="2"/>
    </font>
    <font>
      <b/>
      <sz val="14"/>
      <color theme="1" tint="4.9989318521683403E-2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  <font>
      <sz val="26"/>
      <color theme="1"/>
      <name val="Garamond"/>
      <family val="1"/>
    </font>
    <font>
      <b/>
      <sz val="45"/>
      <color theme="1"/>
      <name val="Abadi"/>
      <family val="2"/>
    </font>
    <font>
      <b/>
      <sz val="21"/>
      <color rgb="FFFFC000"/>
      <name val="Abadi"/>
      <family val="2"/>
    </font>
    <font>
      <sz val="21"/>
      <color rgb="FFFFC000"/>
      <name val="Abadi"/>
      <family val="2"/>
    </font>
    <font>
      <b/>
      <sz val="26"/>
      <color theme="1"/>
      <name val="Garamond"/>
      <family val="1"/>
    </font>
    <font>
      <b/>
      <sz val="16"/>
      <color theme="1"/>
      <name val="Aptos Narrow"/>
      <family val="2"/>
      <scheme val="minor"/>
    </font>
    <font>
      <sz val="13"/>
      <color theme="1"/>
      <name val="Garamond"/>
      <family val="1"/>
    </font>
    <font>
      <sz val="13"/>
      <color rgb="FFFF0000"/>
      <name val="Garamond"/>
      <family val="1"/>
    </font>
    <font>
      <b/>
      <sz val="13"/>
      <color theme="1"/>
      <name val="Garamond"/>
      <family val="1"/>
    </font>
    <font>
      <b/>
      <sz val="14"/>
      <color theme="1"/>
      <name val="ADLaM Display"/>
    </font>
    <font>
      <sz val="14"/>
      <color theme="1"/>
      <name val="Garamond"/>
      <family val="1"/>
    </font>
    <font>
      <sz val="14"/>
      <color theme="1"/>
      <name val="Aptos Narrow"/>
      <family val="2"/>
      <scheme val="minor"/>
    </font>
    <font>
      <sz val="14"/>
      <color theme="1"/>
      <name val="ADLaM Display"/>
    </font>
    <font>
      <sz val="13"/>
      <color theme="1"/>
      <name val="ADLaM Display"/>
    </font>
    <font>
      <sz val="11"/>
      <color theme="1"/>
      <name val="ADLaM Display"/>
    </font>
    <font>
      <b/>
      <sz val="24"/>
      <color theme="0"/>
      <name val="ADLaM Display"/>
    </font>
    <font>
      <sz val="14"/>
      <color rgb="FFEE0000"/>
      <name val="ADLaM Display"/>
    </font>
    <font>
      <b/>
      <sz val="15"/>
      <color theme="1"/>
      <name val="ADLaM Display"/>
    </font>
    <font>
      <sz val="15"/>
      <color theme="1"/>
      <name val="ADLaM Display"/>
    </font>
    <font>
      <b/>
      <sz val="15"/>
      <color rgb="FFEE0000"/>
      <name val="ADLaM Display"/>
    </font>
    <font>
      <b/>
      <sz val="16"/>
      <color theme="1"/>
      <name val="ADLaM Display"/>
    </font>
    <font>
      <b/>
      <sz val="18"/>
      <color theme="1"/>
      <name val="ADLaM Display"/>
    </font>
    <font>
      <b/>
      <sz val="18"/>
      <color rgb="FFEE0000"/>
      <name val="ADLaM Display"/>
    </font>
    <font>
      <b/>
      <sz val="16"/>
      <color theme="0"/>
      <name val="ADLaM Display"/>
    </font>
    <font>
      <b/>
      <sz val="20"/>
      <color theme="1"/>
      <name val="ADLaM Display"/>
    </font>
    <font>
      <b/>
      <sz val="9"/>
      <color theme="1"/>
      <name val="Abadi"/>
      <family val="2"/>
    </font>
    <font>
      <b/>
      <sz val="26"/>
      <color rgb="FFFFC000"/>
      <name val="Abadi"/>
      <family val="2"/>
    </font>
    <font>
      <sz val="26"/>
      <color rgb="FFFFC000"/>
      <name val="Abadi"/>
      <family val="2"/>
    </font>
    <font>
      <sz val="16"/>
      <color theme="1"/>
      <name val="ADLaM Display"/>
    </font>
    <font>
      <b/>
      <sz val="11"/>
      <color theme="1"/>
      <name val="Amasis MT Pro Light"/>
      <family val="1"/>
    </font>
    <font>
      <b/>
      <sz val="11"/>
      <color rgb="FFEE0000"/>
      <name val="Amasis MT Pro"/>
      <family val="1"/>
    </font>
    <font>
      <b/>
      <sz val="11"/>
      <name val="Amasis MT Pro"/>
      <family val="1"/>
    </font>
    <font>
      <b/>
      <sz val="14"/>
      <color theme="1"/>
      <name val="Amasis MT Pro"/>
      <family val="1"/>
    </font>
    <font>
      <b/>
      <sz val="48"/>
      <color theme="1"/>
      <name val="Aptos Narrow"/>
      <family val="2"/>
      <scheme val="minor"/>
    </font>
    <font>
      <b/>
      <sz val="16"/>
      <color theme="1"/>
      <name val="Boucherie Block"/>
    </font>
    <font>
      <b/>
      <sz val="14"/>
      <color theme="1"/>
      <name val="Amasis MT Pro Black"/>
      <family val="1"/>
    </font>
    <font>
      <b/>
      <sz val="16"/>
      <color theme="1"/>
      <name val="Amasis MT Pro Black"/>
      <family val="1"/>
    </font>
    <font>
      <b/>
      <sz val="18"/>
      <color theme="1"/>
      <name val="Boucherie Block"/>
    </font>
    <font>
      <sz val="22"/>
      <color theme="1"/>
      <name val="Boucherie Block"/>
    </font>
    <font>
      <sz val="36"/>
      <color theme="1"/>
      <name val="Boucherie Block"/>
    </font>
    <font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33"/>
      <color theme="1"/>
      <name val="Boucherie Block"/>
    </font>
    <font>
      <b/>
      <sz val="16"/>
      <color theme="1"/>
      <name val="Amasis MT Pro"/>
      <family val="1"/>
    </font>
    <font>
      <b/>
      <sz val="16"/>
      <color theme="1"/>
      <name val="Garamond"/>
      <family val="1"/>
    </font>
    <font>
      <b/>
      <sz val="13"/>
      <color theme="1"/>
      <name val="Amasis MT Pro"/>
      <family val="1"/>
    </font>
    <font>
      <b/>
      <sz val="15"/>
      <color theme="1"/>
      <name val="Amasis MT Pro"/>
      <family val="1"/>
    </font>
    <font>
      <sz val="32"/>
      <color theme="1"/>
      <name val="Boucherie Block"/>
    </font>
    <font>
      <b/>
      <sz val="14"/>
      <color rgb="FFEE0000"/>
      <name val="Amasis MT Pro"/>
      <family val="1"/>
    </font>
    <font>
      <b/>
      <sz val="14"/>
      <name val="Amasis MT Pro"/>
      <family val="1"/>
    </font>
    <font>
      <sz val="15"/>
      <color theme="1"/>
      <name val="Aptos Narrow"/>
      <family val="2"/>
      <scheme val="minor"/>
    </font>
    <font>
      <b/>
      <sz val="16"/>
      <color theme="1"/>
      <name val="Amasis MT Pro Light"/>
      <family val="1"/>
    </font>
    <font>
      <b/>
      <sz val="14"/>
      <color theme="8" tint="0.59999389629810485"/>
      <name val="Amasis MT Pro"/>
      <family val="1"/>
    </font>
    <font>
      <b/>
      <sz val="16"/>
      <color theme="8" tint="0.59999389629810485"/>
      <name val="Amasis MT Pro"/>
      <family val="1"/>
    </font>
    <font>
      <b/>
      <sz val="14"/>
      <color theme="9" tint="0.79998168889431442"/>
      <name val="Amasis MT Pro"/>
      <family val="1"/>
    </font>
    <font>
      <b/>
      <sz val="16"/>
      <color theme="9" tint="0.79998168889431442"/>
      <name val="Amasis MT Pro"/>
      <family val="1"/>
    </font>
    <font>
      <b/>
      <sz val="11"/>
      <color theme="1"/>
      <name val="Garamond"/>
      <family val="1"/>
    </font>
    <font>
      <b/>
      <sz val="12"/>
      <color rgb="FFFFC000"/>
      <name val="Abadi"/>
      <family val="2"/>
    </font>
    <font>
      <sz val="12"/>
      <color rgb="FFFFC000"/>
      <name val="Abadi"/>
      <family val="2"/>
    </font>
    <font>
      <sz val="48"/>
      <color rgb="FFC00000"/>
      <name val="Impact"/>
      <family val="2"/>
    </font>
    <font>
      <sz val="36"/>
      <color rgb="FFC00000"/>
      <name val="Impact"/>
      <family val="2"/>
    </font>
    <font>
      <b/>
      <sz val="18"/>
      <color theme="0" tint="-4.9989318521683403E-2"/>
      <name val="Abadi"/>
      <family val="2"/>
    </font>
    <font>
      <b/>
      <sz val="26"/>
      <color theme="1" tint="0.499984740745262"/>
      <name val="Garamond"/>
      <family val="1"/>
    </font>
    <font>
      <b/>
      <sz val="45"/>
      <color rgb="FFA60A0A"/>
      <name val="Abadi"/>
      <family val="2"/>
    </font>
    <font>
      <b/>
      <sz val="28"/>
      <color theme="1"/>
      <name val="Amasis MT Pro"/>
      <family val="1"/>
    </font>
    <font>
      <b/>
      <u/>
      <sz val="28"/>
      <color theme="1"/>
      <name val="Amasis MT Pro"/>
      <family val="1"/>
    </font>
    <font>
      <b/>
      <sz val="28"/>
      <color rgb="FFFFFF00"/>
      <name val="ADLaM Display"/>
    </font>
    <font>
      <sz val="36"/>
      <color theme="2" tint="-0.249977111117893"/>
      <name val="ADLaM Display"/>
    </font>
    <font>
      <sz val="36"/>
      <color theme="2" tint="-0.499984740745262"/>
      <name val="ADLaM Display"/>
    </font>
    <font>
      <b/>
      <sz val="28"/>
      <color theme="0" tint="-4.9989318521683403E-2"/>
      <name val="ADLaM Display"/>
    </font>
    <font>
      <b/>
      <sz val="28"/>
      <color rgb="FFFFFF66"/>
      <name val="ADLaM Display"/>
    </font>
    <font>
      <b/>
      <sz val="18"/>
      <color theme="0" tint="-4.9989318521683403E-2"/>
      <name val="Amasis MT Pro"/>
      <family val="1"/>
    </font>
    <font>
      <sz val="96"/>
      <color theme="0"/>
      <name val="Impact"/>
      <family val="2"/>
    </font>
    <font>
      <b/>
      <sz val="36"/>
      <color rgb="FFA60A0A"/>
      <name val="Garamond"/>
      <family val="1"/>
    </font>
    <font>
      <sz val="96"/>
      <color theme="0" tint="-4.9989318521683403E-2"/>
      <name val="Impact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D05A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60A0A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double">
        <color theme="4" tint="-0.499984740745262"/>
      </bottom>
      <diagonal/>
    </border>
    <border>
      <left/>
      <right/>
      <top style="double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/>
      <bottom/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DashDot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10">
    <xf numFmtId="0" fontId="0" fillId="0" borderId="0" xfId="0"/>
    <xf numFmtId="0" fontId="1" fillId="0" borderId="0" xfId="0" applyFont="1"/>
    <xf numFmtId="165" fontId="0" fillId="0" borderId="0" xfId="0" applyNumberFormat="1"/>
    <xf numFmtId="3" fontId="1" fillId="0" borderId="0" xfId="0" applyNumberFormat="1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5" fillId="0" borderId="0" xfId="0" applyFont="1" applyAlignment="1">
      <alignment horizontal="right" vertical="center"/>
    </xf>
    <xf numFmtId="0" fontId="21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6" fillId="1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8" fillId="0" borderId="1" xfId="0" applyFont="1" applyBorder="1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9" fillId="21" borderId="4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8" fontId="30" fillId="12" borderId="3" xfId="0" applyNumberFormat="1" applyFont="1" applyFill="1" applyBorder="1" applyAlignment="1">
      <alignment horizontal="center"/>
    </xf>
    <xf numFmtId="0" fontId="31" fillId="0" borderId="0" xfId="0" applyFont="1"/>
    <xf numFmtId="18" fontId="30" fillId="9" borderId="3" xfId="0" applyNumberFormat="1" applyFont="1" applyFill="1" applyBorder="1" applyAlignment="1">
      <alignment horizontal="center"/>
    </xf>
    <xf numFmtId="18" fontId="30" fillId="3" borderId="3" xfId="0" applyNumberFormat="1" applyFont="1" applyFill="1" applyBorder="1" applyAlignment="1">
      <alignment horizontal="center"/>
    </xf>
    <xf numFmtId="18" fontId="30" fillId="18" borderId="3" xfId="0" applyNumberFormat="1" applyFont="1" applyFill="1" applyBorder="1" applyAlignment="1">
      <alignment horizontal="center"/>
    </xf>
    <xf numFmtId="18" fontId="30" fillId="20" borderId="3" xfId="0" applyNumberFormat="1" applyFont="1" applyFill="1" applyBorder="1" applyAlignment="1">
      <alignment horizontal="center"/>
    </xf>
    <xf numFmtId="18" fontId="30" fillId="5" borderId="3" xfId="0" applyNumberFormat="1" applyFont="1" applyFill="1" applyBorder="1" applyAlignment="1">
      <alignment horizontal="center"/>
    </xf>
    <xf numFmtId="18" fontId="30" fillId="8" borderId="3" xfId="0" applyNumberFormat="1" applyFont="1" applyFill="1" applyBorder="1" applyAlignment="1">
      <alignment horizontal="center"/>
    </xf>
    <xf numFmtId="18" fontId="30" fillId="16" borderId="3" xfId="0" applyNumberFormat="1" applyFont="1" applyFill="1" applyBorder="1" applyAlignment="1">
      <alignment horizontal="center"/>
    </xf>
    <xf numFmtId="18" fontId="30" fillId="6" borderId="3" xfId="0" applyNumberFormat="1" applyFont="1" applyFill="1" applyBorder="1" applyAlignment="1">
      <alignment horizontal="center"/>
    </xf>
    <xf numFmtId="18" fontId="30" fillId="21" borderId="8" xfId="0" applyNumberFormat="1" applyFont="1" applyFill="1" applyBorder="1" applyAlignment="1">
      <alignment horizontal="center"/>
    </xf>
    <xf numFmtId="18" fontId="30" fillId="10" borderId="3" xfId="0" applyNumberFormat="1" applyFont="1" applyFill="1" applyBorder="1" applyAlignment="1">
      <alignment horizontal="center"/>
    </xf>
    <xf numFmtId="18" fontId="30" fillId="17" borderId="3" xfId="0" applyNumberFormat="1" applyFont="1" applyFill="1" applyBorder="1" applyAlignment="1">
      <alignment horizontal="center"/>
    </xf>
    <xf numFmtId="18" fontId="30" fillId="19" borderId="3" xfId="0" applyNumberFormat="1" applyFont="1" applyFill="1" applyBorder="1" applyAlignment="1">
      <alignment horizontal="center"/>
    </xf>
    <xf numFmtId="18" fontId="30" fillId="4" borderId="3" xfId="0" applyNumberFormat="1" applyFont="1" applyFill="1" applyBorder="1" applyAlignment="1">
      <alignment horizontal="center"/>
    </xf>
    <xf numFmtId="0" fontId="32" fillId="22" borderId="9" xfId="0" applyFont="1" applyFill="1" applyBorder="1" applyAlignment="1">
      <alignment horizontal="center"/>
    </xf>
    <xf numFmtId="0" fontId="16" fillId="12" borderId="1" xfId="0" quotePrefix="1" applyFont="1" applyFill="1" applyBorder="1" applyAlignment="1">
      <alignment horizontal="center" vertical="center"/>
    </xf>
    <xf numFmtId="0" fontId="33" fillId="0" borderId="0" xfId="0" applyFont="1"/>
    <xf numFmtId="0" fontId="13" fillId="0" borderId="0" xfId="0" applyFont="1"/>
    <xf numFmtId="0" fontId="34" fillId="0" borderId="0" xfId="0" applyFont="1"/>
    <xf numFmtId="0" fontId="35" fillId="0" borderId="0" xfId="0" applyFont="1"/>
    <xf numFmtId="0" fontId="14" fillId="13" borderId="1" xfId="0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42" fillId="0" borderId="0" xfId="0" applyFont="1"/>
    <xf numFmtId="0" fontId="47" fillId="0" borderId="0" xfId="0" applyFont="1"/>
    <xf numFmtId="0" fontId="50" fillId="0" borderId="0" xfId="0" applyFont="1"/>
    <xf numFmtId="0" fontId="48" fillId="0" borderId="0" xfId="0" applyFont="1"/>
    <xf numFmtId="0" fontId="49" fillId="0" borderId="0" xfId="0" applyFont="1"/>
    <xf numFmtId="0" fontId="44" fillId="0" borderId="0" xfId="0" applyFont="1" applyAlignment="1">
      <alignment horizontal="center"/>
    </xf>
    <xf numFmtId="0" fontId="42" fillId="0" borderId="25" xfId="0" applyFont="1" applyBorder="1"/>
    <xf numFmtId="0" fontId="49" fillId="0" borderId="0" xfId="0" applyFont="1" applyAlignment="1">
      <alignment horizontal="center"/>
    </xf>
    <xf numFmtId="0" fontId="54" fillId="0" borderId="0" xfId="0" applyFont="1"/>
    <xf numFmtId="0" fontId="42" fillId="24" borderId="0" xfId="0" applyFont="1" applyFill="1"/>
    <xf numFmtId="0" fontId="44" fillId="24" borderId="0" xfId="0" applyFont="1" applyFill="1"/>
    <xf numFmtId="0" fontId="46" fillId="24" borderId="0" xfId="0" applyFont="1" applyFill="1" applyAlignment="1">
      <alignment horizontal="center"/>
    </xf>
    <xf numFmtId="0" fontId="45" fillId="24" borderId="0" xfId="0" applyFont="1" applyFill="1" applyAlignment="1">
      <alignment horizontal="center" vertical="center"/>
    </xf>
    <xf numFmtId="0" fontId="42" fillId="0" borderId="29" xfId="0" applyFont="1" applyBorder="1"/>
    <xf numFmtId="0" fontId="54" fillId="24" borderId="0" xfId="0" applyFont="1" applyFill="1"/>
    <xf numFmtId="0" fontId="48" fillId="0" borderId="0" xfId="0" applyFont="1" applyAlignment="1">
      <alignment vertical="center"/>
    </xf>
    <xf numFmtId="0" fontId="42" fillId="0" borderId="27" xfId="0" applyFont="1" applyBorder="1"/>
    <xf numFmtId="0" fontId="41" fillId="0" borderId="0" xfId="0" applyFont="1"/>
    <xf numFmtId="0" fontId="42" fillId="0" borderId="0" xfId="0" applyFont="1" applyAlignment="1">
      <alignment vertical="top"/>
    </xf>
    <xf numFmtId="0" fontId="44" fillId="0" borderId="0" xfId="0" applyFont="1"/>
    <xf numFmtId="0" fontId="38" fillId="0" borderId="0" xfId="0" applyFont="1" applyAlignment="1">
      <alignment horizontal="center" vertical="center" wrapText="1"/>
    </xf>
    <xf numFmtId="0" fontId="42" fillId="13" borderId="22" xfId="0" applyFont="1" applyFill="1" applyBorder="1" applyAlignment="1">
      <alignment horizontal="center"/>
    </xf>
    <xf numFmtId="0" fontId="42" fillId="13" borderId="0" xfId="0" applyFont="1" applyFill="1" applyAlignment="1">
      <alignment horizontal="center"/>
    </xf>
    <xf numFmtId="0" fontId="42" fillId="13" borderId="27" xfId="0" applyFont="1" applyFill="1" applyBorder="1"/>
    <xf numFmtId="0" fontId="42" fillId="0" borderId="22" xfId="0" applyFont="1" applyBorder="1"/>
    <xf numFmtId="0" fontId="42" fillId="0" borderId="23" xfId="0" applyFont="1" applyBorder="1"/>
    <xf numFmtId="0" fontId="44" fillId="0" borderId="21" xfId="0" applyFont="1" applyBorder="1"/>
    <xf numFmtId="0" fontId="44" fillId="0" borderId="22" xfId="0" applyFont="1" applyBorder="1"/>
    <xf numFmtId="0" fontId="44" fillId="0" borderId="24" xfId="0" applyFont="1" applyBorder="1"/>
    <xf numFmtId="0" fontId="44" fillId="0" borderId="29" xfId="0" applyFont="1" applyBorder="1"/>
    <xf numFmtId="0" fontId="53" fillId="0" borderId="27" xfId="0" applyFont="1" applyBorder="1" applyAlignment="1">
      <alignment vertical="center"/>
    </xf>
    <xf numFmtId="0" fontId="0" fillId="0" borderId="26" xfId="0" applyBorder="1"/>
    <xf numFmtId="0" fontId="38" fillId="0" borderId="21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vertical="top"/>
    </xf>
    <xf numFmtId="0" fontId="0" fillId="0" borderId="23" xfId="0" applyBorder="1"/>
    <xf numFmtId="0" fontId="54" fillId="0" borderId="24" xfId="0" applyFont="1" applyBorder="1"/>
    <xf numFmtId="0" fontId="54" fillId="0" borderId="25" xfId="0" applyFont="1" applyBorder="1"/>
    <xf numFmtId="0" fontId="0" fillId="0" borderId="24" xfId="0" applyBorder="1"/>
    <xf numFmtId="0" fontId="0" fillId="0" borderId="25" xfId="0" applyBorder="1"/>
    <xf numFmtId="0" fontId="47" fillId="0" borderId="24" xfId="0" applyFont="1" applyBorder="1"/>
    <xf numFmtId="0" fontId="47" fillId="0" borderId="25" xfId="0" applyFont="1" applyBorder="1"/>
    <xf numFmtId="0" fontId="48" fillId="0" borderId="24" xfId="0" applyFont="1" applyBorder="1"/>
    <xf numFmtId="0" fontId="48" fillId="0" borderId="25" xfId="0" applyFont="1" applyBorder="1"/>
    <xf numFmtId="0" fontId="50" fillId="0" borderId="24" xfId="0" applyFont="1" applyBorder="1"/>
    <xf numFmtId="0" fontId="50" fillId="0" borderId="25" xfId="0" applyFont="1" applyBorder="1"/>
    <xf numFmtId="0" fontId="0" fillId="0" borderId="28" xfId="0" applyBorder="1"/>
    <xf numFmtId="0" fontId="0" fillId="0" borderId="27" xfId="0" applyBorder="1"/>
    <xf numFmtId="0" fontId="53" fillId="0" borderId="28" xfId="0" applyFont="1" applyBorder="1" applyAlignment="1">
      <alignment vertical="center"/>
    </xf>
    <xf numFmtId="0" fontId="46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56" fillId="26" borderId="31" xfId="0" applyFont="1" applyFill="1" applyBorder="1" applyAlignment="1">
      <alignment horizontal="center" vertical="center"/>
    </xf>
    <xf numFmtId="0" fontId="59" fillId="25" borderId="31" xfId="0" applyFont="1" applyFill="1" applyBorder="1" applyAlignment="1">
      <alignment horizontal="center" vertical="center"/>
    </xf>
    <xf numFmtId="0" fontId="56" fillId="27" borderId="31" xfId="0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11" borderId="16" xfId="0" applyFont="1" applyFill="1" applyBorder="1" applyAlignment="1">
      <alignment horizontal="center" vertical="center"/>
    </xf>
    <xf numFmtId="0" fontId="64" fillId="11" borderId="33" xfId="0" applyFont="1" applyFill="1" applyBorder="1" applyAlignment="1">
      <alignment horizontal="center" vertical="center"/>
    </xf>
    <xf numFmtId="0" fontId="64" fillId="11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11" borderId="17" xfId="0" applyFont="1" applyFill="1" applyBorder="1" applyAlignment="1">
      <alignment horizontal="center" vertical="center"/>
    </xf>
    <xf numFmtId="0" fontId="64" fillId="24" borderId="0" xfId="0" applyFont="1" applyFill="1" applyAlignment="1">
      <alignment horizontal="center" vertical="center"/>
    </xf>
    <xf numFmtId="0" fontId="64" fillId="0" borderId="25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33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0" fontId="64" fillId="11" borderId="32" xfId="0" applyFont="1" applyFill="1" applyBorder="1" applyAlignment="1">
      <alignment horizontal="center" vertical="center"/>
    </xf>
    <xf numFmtId="0" fontId="64" fillId="11" borderId="18" xfId="0" applyFont="1" applyFill="1" applyBorder="1" applyAlignment="1">
      <alignment horizontal="center" vertical="center"/>
    </xf>
    <xf numFmtId="0" fontId="64" fillId="11" borderId="19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28" fillId="3" borderId="1" xfId="0" applyFont="1" applyFill="1" applyBorder="1"/>
    <xf numFmtId="0" fontId="65" fillId="3" borderId="1" xfId="0" applyFont="1" applyFill="1" applyBorder="1" applyAlignment="1">
      <alignment horizontal="center"/>
    </xf>
    <xf numFmtId="0" fontId="7" fillId="24" borderId="0" xfId="0" applyFont="1" applyFill="1"/>
    <xf numFmtId="3" fontId="6" fillId="0" borderId="1" xfId="0" applyNumberFormat="1" applyFont="1" applyBorder="1"/>
    <xf numFmtId="3" fontId="6" fillId="3" borderId="1" xfId="0" applyNumberFormat="1" applyFont="1" applyFill="1" applyBorder="1"/>
    <xf numFmtId="166" fontId="6" fillId="0" borderId="1" xfId="0" applyNumberFormat="1" applyFont="1" applyBorder="1"/>
    <xf numFmtId="3" fontId="66" fillId="0" borderId="1" xfId="0" applyNumberFormat="1" applyFont="1" applyBorder="1"/>
    <xf numFmtId="3" fontId="2" fillId="28" borderId="0" xfId="0" applyNumberFormat="1" applyFont="1" applyFill="1" applyAlignment="1">
      <alignment horizontal="center" vertical="center"/>
    </xf>
    <xf numFmtId="3" fontId="66" fillId="3" borderId="1" xfId="0" applyNumberFormat="1" applyFont="1" applyFill="1" applyBorder="1"/>
    <xf numFmtId="166" fontId="6" fillId="3" borderId="1" xfId="0" applyNumberFormat="1" applyFont="1" applyFill="1" applyBorder="1"/>
    <xf numFmtId="0" fontId="28" fillId="3" borderId="1" xfId="0" applyFont="1" applyFill="1" applyBorder="1" applyAlignment="1">
      <alignment horizontal="left" vertical="center"/>
    </xf>
    <xf numFmtId="0" fontId="28" fillId="19" borderId="1" xfId="0" applyFont="1" applyFill="1" applyBorder="1"/>
    <xf numFmtId="0" fontId="65" fillId="19" borderId="1" xfId="0" applyFont="1" applyFill="1" applyBorder="1" applyAlignment="1">
      <alignment horizontal="center"/>
    </xf>
    <xf numFmtId="3" fontId="6" fillId="19" borderId="1" xfId="0" applyNumberFormat="1" applyFont="1" applyFill="1" applyBorder="1"/>
    <xf numFmtId="3" fontId="67" fillId="19" borderId="1" xfId="0" applyNumberFormat="1" applyFont="1" applyFill="1" applyBorder="1"/>
    <xf numFmtId="3" fontId="66" fillId="19" borderId="1" xfId="0" applyNumberFormat="1" applyFont="1" applyFill="1" applyBorder="1"/>
    <xf numFmtId="0" fontId="28" fillId="24" borderId="1" xfId="0" applyFont="1" applyFill="1" applyBorder="1"/>
    <xf numFmtId="0" fontId="65" fillId="24" borderId="1" xfId="0" applyFont="1" applyFill="1" applyBorder="1" applyAlignment="1">
      <alignment horizontal="center"/>
    </xf>
    <xf numFmtId="3" fontId="6" fillId="24" borderId="1" xfId="0" applyNumberFormat="1" applyFont="1" applyFill="1" applyBorder="1"/>
    <xf numFmtId="166" fontId="6" fillId="24" borderId="1" xfId="0" applyNumberFormat="1" applyFont="1" applyFill="1" applyBorder="1"/>
    <xf numFmtId="3" fontId="67" fillId="24" borderId="1" xfId="0" applyNumberFormat="1" applyFont="1" applyFill="1" applyBorder="1"/>
    <xf numFmtId="3" fontId="66" fillId="24" borderId="1" xfId="0" applyNumberFormat="1" applyFont="1" applyFill="1" applyBorder="1"/>
    <xf numFmtId="166" fontId="68" fillId="3" borderId="1" xfId="0" applyNumberFormat="1" applyFont="1" applyFill="1" applyBorder="1"/>
    <xf numFmtId="166" fontId="68" fillId="19" borderId="1" xfId="0" applyNumberFormat="1" applyFont="1" applyFill="1" applyBorder="1"/>
    <xf numFmtId="0" fontId="0" fillId="3" borderId="1" xfId="0" applyFill="1" applyBorder="1"/>
    <xf numFmtId="0" fontId="0" fillId="21" borderId="1" xfId="0" applyFill="1" applyBorder="1"/>
    <xf numFmtId="0" fontId="0" fillId="0" borderId="1" xfId="0" applyBorder="1"/>
    <xf numFmtId="0" fontId="0" fillId="14" borderId="0" xfId="0" applyFill="1"/>
    <xf numFmtId="0" fontId="1" fillId="4" borderId="1" xfId="0" applyFont="1" applyFill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0" fontId="70" fillId="14" borderId="37" xfId="0" applyFont="1" applyFill="1" applyBorder="1" applyAlignment="1">
      <alignment horizontal="center" vertical="center"/>
    </xf>
    <xf numFmtId="0" fontId="70" fillId="14" borderId="39" xfId="0" applyFont="1" applyFill="1" applyBorder="1" applyAlignment="1">
      <alignment horizontal="center"/>
    </xf>
    <xf numFmtId="0" fontId="70" fillId="16" borderId="37" xfId="0" applyFont="1" applyFill="1" applyBorder="1" applyAlignment="1">
      <alignment horizontal="center" vertical="center"/>
    </xf>
    <xf numFmtId="0" fontId="70" fillId="16" borderId="39" xfId="0" applyFont="1" applyFill="1" applyBorder="1" applyAlignment="1">
      <alignment horizontal="center"/>
    </xf>
    <xf numFmtId="0" fontId="70" fillId="4" borderId="37" xfId="0" applyFont="1" applyFill="1" applyBorder="1" applyAlignment="1">
      <alignment horizontal="center" vertical="center"/>
    </xf>
    <xf numFmtId="0" fontId="70" fillId="4" borderId="39" xfId="0" applyFont="1" applyFill="1" applyBorder="1" applyAlignment="1">
      <alignment horizontal="center"/>
    </xf>
    <xf numFmtId="0" fontId="70" fillId="29" borderId="37" xfId="0" applyFont="1" applyFill="1" applyBorder="1" applyAlignment="1">
      <alignment horizontal="center" vertical="center"/>
    </xf>
    <xf numFmtId="0" fontId="70" fillId="29" borderId="39" xfId="0" applyFont="1" applyFill="1" applyBorder="1" applyAlignment="1">
      <alignment horizontal="center"/>
    </xf>
    <xf numFmtId="0" fontId="4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6" fillId="0" borderId="0" xfId="0" applyFont="1"/>
    <xf numFmtId="0" fontId="71" fillId="14" borderId="0" xfId="0" applyFont="1" applyFill="1" applyAlignment="1">
      <alignment horizontal="center" vertical="center"/>
    </xf>
    <xf numFmtId="0" fontId="11" fillId="14" borderId="0" xfId="0" applyFont="1" applyFill="1" applyAlignment="1">
      <alignment vertical="center"/>
    </xf>
    <xf numFmtId="0" fontId="71" fillId="14" borderId="0" xfId="0" applyFont="1" applyFill="1" applyAlignment="1">
      <alignment horizontal="left"/>
    </xf>
    <xf numFmtId="0" fontId="71" fillId="0" borderId="0" xfId="0" applyFont="1" applyAlignment="1">
      <alignment horizontal="left"/>
    </xf>
    <xf numFmtId="166" fontId="68" fillId="3" borderId="0" xfId="0" applyNumberFormat="1" applyFont="1" applyFill="1"/>
    <xf numFmtId="166" fontId="68" fillId="19" borderId="0" xfId="0" applyNumberFormat="1" applyFont="1" applyFill="1"/>
    <xf numFmtId="0" fontId="2" fillId="0" borderId="0" xfId="0" applyFont="1" applyAlignment="1">
      <alignment vertical="center"/>
    </xf>
    <xf numFmtId="0" fontId="32" fillId="22" borderId="6" xfId="0" applyFont="1" applyFill="1" applyBorder="1" applyAlignment="1">
      <alignment horizontal="center"/>
    </xf>
    <xf numFmtId="3" fontId="0" fillId="0" borderId="0" xfId="0" applyNumberFormat="1"/>
    <xf numFmtId="167" fontId="79" fillId="3" borderId="1" xfId="0" applyNumberFormat="1" applyFont="1" applyFill="1" applyBorder="1" applyAlignment="1">
      <alignment horizontal="center"/>
    </xf>
    <xf numFmtId="167" fontId="68" fillId="3" borderId="1" xfId="0" applyNumberFormat="1" applyFont="1" applyFill="1" applyBorder="1" applyAlignment="1">
      <alignment horizontal="center"/>
    </xf>
    <xf numFmtId="167" fontId="79" fillId="19" borderId="1" xfId="0" applyNumberFormat="1" applyFont="1" applyFill="1" applyBorder="1" applyAlignment="1">
      <alignment horizontal="center"/>
    </xf>
    <xf numFmtId="167" fontId="68" fillId="11" borderId="1" xfId="0" applyNumberFormat="1" applyFont="1" applyFill="1" applyBorder="1" applyAlignment="1">
      <alignment horizontal="center"/>
    </xf>
    <xf numFmtId="16" fontId="1" fillId="0" borderId="12" xfId="0" applyNumberFormat="1" applyFont="1" applyBorder="1" applyAlignment="1">
      <alignment horizontal="center"/>
    </xf>
    <xf numFmtId="9" fontId="41" fillId="30" borderId="42" xfId="0" applyNumberFormat="1" applyFont="1" applyFill="1" applyBorder="1" applyAlignment="1">
      <alignment horizontal="center"/>
    </xf>
    <xf numFmtId="9" fontId="41" fillId="4" borderId="37" xfId="0" applyNumberFormat="1" applyFont="1" applyFill="1" applyBorder="1" applyAlignment="1">
      <alignment horizontal="center"/>
    </xf>
    <xf numFmtId="9" fontId="41" fillId="0" borderId="43" xfId="0" applyNumberFormat="1" applyFont="1" applyBorder="1" applyAlignment="1">
      <alignment horizontal="center"/>
    </xf>
    <xf numFmtId="9" fontId="41" fillId="31" borderId="44" xfId="0" applyNumberFormat="1" applyFont="1" applyFill="1" applyBorder="1" applyAlignment="1">
      <alignment horizontal="center"/>
    </xf>
    <xf numFmtId="167" fontId="81" fillId="4" borderId="1" xfId="0" applyNumberFormat="1" applyFont="1" applyFill="1" applyBorder="1" applyAlignment="1">
      <alignment horizontal="center"/>
    </xf>
    <xf numFmtId="0" fontId="0" fillId="32" borderId="1" xfId="0" applyFill="1" applyBorder="1"/>
    <xf numFmtId="0" fontId="11" fillId="0" borderId="43" xfId="0" applyFont="1" applyBorder="1"/>
    <xf numFmtId="16" fontId="1" fillId="30" borderId="45" xfId="0" applyNumberFormat="1" applyFont="1" applyFill="1" applyBorder="1" applyAlignment="1">
      <alignment horizontal="center" vertical="top"/>
    </xf>
    <xf numFmtId="17" fontId="1" fillId="4" borderId="38" xfId="0" applyNumberFormat="1" applyFont="1" applyFill="1" applyBorder="1" applyAlignment="1">
      <alignment horizontal="center" vertical="top"/>
    </xf>
    <xf numFmtId="17" fontId="1" fillId="0" borderId="12" xfId="0" applyNumberFormat="1" applyFont="1" applyBorder="1" applyAlignment="1">
      <alignment horizontal="center" vertical="top"/>
    </xf>
    <xf numFmtId="17" fontId="1" fillId="31" borderId="46" xfId="0" applyNumberFormat="1" applyFont="1" applyFill="1" applyBorder="1" applyAlignment="1">
      <alignment horizontal="center" vertical="top"/>
    </xf>
    <xf numFmtId="3" fontId="68" fillId="3" borderId="1" xfId="0" applyNumberFormat="1" applyFont="1" applyFill="1" applyBorder="1" applyAlignment="1">
      <alignment horizontal="center" vertical="center"/>
    </xf>
    <xf numFmtId="3" fontId="84" fillId="3" borderId="1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/>
    </xf>
    <xf numFmtId="3" fontId="79" fillId="3" borderId="1" xfId="0" applyNumberFormat="1" applyFont="1" applyFill="1" applyBorder="1" applyAlignment="1">
      <alignment horizontal="center" vertical="center"/>
    </xf>
    <xf numFmtId="3" fontId="41" fillId="0" borderId="0" xfId="0" applyNumberFormat="1" applyFont="1"/>
    <xf numFmtId="3" fontId="80" fillId="3" borderId="1" xfId="0" applyNumberFormat="1" applyFont="1" applyFill="1" applyBorder="1"/>
    <xf numFmtId="166" fontId="82" fillId="3" borderId="1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13" fillId="24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65" fillId="32" borderId="1" xfId="0" applyFont="1" applyFill="1" applyBorder="1" applyAlignment="1">
      <alignment horizontal="center"/>
    </xf>
    <xf numFmtId="3" fontId="79" fillId="32" borderId="1" xfId="0" applyNumberFormat="1" applyFont="1" applyFill="1" applyBorder="1" applyAlignment="1">
      <alignment horizontal="center" vertical="center"/>
    </xf>
    <xf numFmtId="3" fontId="68" fillId="32" borderId="1" xfId="0" applyNumberFormat="1" applyFont="1" applyFill="1" applyBorder="1" applyAlignment="1">
      <alignment horizontal="center" vertical="center"/>
    </xf>
    <xf numFmtId="3" fontId="84" fillId="32" borderId="1" xfId="0" applyNumberFormat="1" applyFont="1" applyFill="1" applyBorder="1" applyAlignment="1">
      <alignment horizontal="center" vertical="center"/>
    </xf>
    <xf numFmtId="3" fontId="80" fillId="32" borderId="1" xfId="0" applyNumberFormat="1" applyFont="1" applyFill="1" applyBorder="1"/>
    <xf numFmtId="166" fontId="82" fillId="32" borderId="1" xfId="0" applyNumberFormat="1" applyFont="1" applyFill="1" applyBorder="1" applyAlignment="1">
      <alignment horizontal="center" vertical="center"/>
    </xf>
    <xf numFmtId="167" fontId="68" fillId="32" borderId="1" xfId="0" applyNumberFormat="1" applyFont="1" applyFill="1" applyBorder="1" applyAlignment="1">
      <alignment horizontal="center"/>
    </xf>
    <xf numFmtId="0" fontId="87" fillId="32" borderId="1" xfId="0" applyFont="1" applyFill="1" applyBorder="1"/>
    <xf numFmtId="0" fontId="28" fillId="4" borderId="1" xfId="0" applyFont="1" applyFill="1" applyBorder="1"/>
    <xf numFmtId="0" fontId="65" fillId="4" borderId="1" xfId="0" applyFont="1" applyFill="1" applyBorder="1" applyAlignment="1">
      <alignment horizontal="center"/>
    </xf>
    <xf numFmtId="3" fontId="79" fillId="4" borderId="1" xfId="0" applyNumberFormat="1" applyFont="1" applyFill="1" applyBorder="1" applyAlignment="1">
      <alignment horizontal="center" vertical="center"/>
    </xf>
    <xf numFmtId="3" fontId="68" fillId="4" borderId="1" xfId="0" applyNumberFormat="1" applyFont="1" applyFill="1" applyBorder="1" applyAlignment="1">
      <alignment horizontal="center"/>
    </xf>
    <xf numFmtId="3" fontId="84" fillId="4" borderId="1" xfId="0" applyNumberFormat="1" applyFont="1" applyFill="1" applyBorder="1" applyAlignment="1">
      <alignment horizontal="center"/>
    </xf>
    <xf numFmtId="3" fontId="80" fillId="4" borderId="1" xfId="0" applyNumberFormat="1" applyFont="1" applyFill="1" applyBorder="1"/>
    <xf numFmtId="166" fontId="82" fillId="4" borderId="1" xfId="0" applyNumberFormat="1" applyFont="1" applyFill="1" applyBorder="1" applyAlignment="1">
      <alignment horizontal="center" vertical="center"/>
    </xf>
    <xf numFmtId="3" fontId="85" fillId="4" borderId="1" xfId="0" applyNumberFormat="1" applyFont="1" applyFill="1" applyBorder="1" applyAlignment="1">
      <alignment horizontal="center"/>
    </xf>
    <xf numFmtId="167" fontId="68" fillId="4" borderId="1" xfId="0" applyNumberFormat="1" applyFont="1" applyFill="1" applyBorder="1" applyAlignment="1">
      <alignment horizontal="center"/>
    </xf>
    <xf numFmtId="0" fontId="28" fillId="33" borderId="1" xfId="0" applyFont="1" applyFill="1" applyBorder="1"/>
    <xf numFmtId="0" fontId="65" fillId="33" borderId="1" xfId="0" applyFont="1" applyFill="1" applyBorder="1" applyAlignment="1">
      <alignment horizontal="center"/>
    </xf>
    <xf numFmtId="3" fontId="79" fillId="33" borderId="1" xfId="0" applyNumberFormat="1" applyFont="1" applyFill="1" applyBorder="1" applyAlignment="1">
      <alignment horizontal="center" vertical="center"/>
    </xf>
    <xf numFmtId="3" fontId="68" fillId="33" borderId="1" xfId="0" applyNumberFormat="1" applyFont="1" applyFill="1" applyBorder="1" applyAlignment="1">
      <alignment horizontal="center"/>
    </xf>
    <xf numFmtId="3" fontId="84" fillId="33" borderId="1" xfId="0" applyNumberFormat="1" applyFont="1" applyFill="1" applyBorder="1" applyAlignment="1">
      <alignment horizontal="center"/>
    </xf>
    <xf numFmtId="3" fontId="79" fillId="33" borderId="1" xfId="0" applyNumberFormat="1" applyFont="1" applyFill="1" applyBorder="1"/>
    <xf numFmtId="166" fontId="82" fillId="33" borderId="1" xfId="0" applyNumberFormat="1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left" vertical="center"/>
    </xf>
    <xf numFmtId="3" fontId="85" fillId="33" borderId="1" xfId="0" applyNumberFormat="1" applyFont="1" applyFill="1" applyBorder="1" applyAlignment="1">
      <alignment horizontal="center"/>
    </xf>
    <xf numFmtId="167" fontId="68" fillId="33" borderId="1" xfId="0" applyNumberFormat="1" applyFont="1" applyFill="1" applyBorder="1" applyAlignment="1">
      <alignment horizontal="center"/>
    </xf>
    <xf numFmtId="0" fontId="28" fillId="34" borderId="1" xfId="0" applyFont="1" applyFill="1" applyBorder="1"/>
    <xf numFmtId="0" fontId="65" fillId="34" borderId="1" xfId="0" applyFont="1" applyFill="1" applyBorder="1" applyAlignment="1">
      <alignment horizontal="center"/>
    </xf>
    <xf numFmtId="3" fontId="79" fillId="34" borderId="1" xfId="0" applyNumberFormat="1" applyFont="1" applyFill="1" applyBorder="1" applyAlignment="1">
      <alignment horizontal="center" vertical="center"/>
    </xf>
    <xf numFmtId="3" fontId="68" fillId="34" borderId="1" xfId="0" applyNumberFormat="1" applyFont="1" applyFill="1" applyBorder="1" applyAlignment="1">
      <alignment horizontal="center"/>
    </xf>
    <xf numFmtId="3" fontId="84" fillId="34" borderId="1" xfId="0" applyNumberFormat="1" applyFont="1" applyFill="1" applyBorder="1" applyAlignment="1">
      <alignment horizontal="center"/>
    </xf>
    <xf numFmtId="3" fontId="79" fillId="34" borderId="1" xfId="0" applyNumberFormat="1" applyFont="1" applyFill="1" applyBorder="1"/>
    <xf numFmtId="166" fontId="82" fillId="34" borderId="1" xfId="0" applyNumberFormat="1" applyFont="1" applyFill="1" applyBorder="1" applyAlignment="1">
      <alignment horizontal="center" vertical="center"/>
    </xf>
    <xf numFmtId="0" fontId="28" fillId="34" borderId="1" xfId="0" applyFont="1" applyFill="1" applyBorder="1" applyAlignment="1">
      <alignment horizontal="left" vertical="center"/>
    </xf>
    <xf numFmtId="3" fontId="85" fillId="34" borderId="1" xfId="0" applyNumberFormat="1" applyFont="1" applyFill="1" applyBorder="1" applyAlignment="1">
      <alignment horizontal="center"/>
    </xf>
    <xf numFmtId="167" fontId="68" fillId="34" borderId="1" xfId="0" applyNumberFormat="1" applyFont="1" applyFill="1" applyBorder="1" applyAlignment="1">
      <alignment horizontal="center"/>
    </xf>
    <xf numFmtId="0" fontId="28" fillId="11" borderId="1" xfId="0" applyFont="1" applyFill="1" applyBorder="1"/>
    <xf numFmtId="0" fontId="65" fillId="11" borderId="1" xfId="0" applyFont="1" applyFill="1" applyBorder="1" applyAlignment="1">
      <alignment horizontal="center"/>
    </xf>
    <xf numFmtId="3" fontId="79" fillId="11" borderId="1" xfId="0" applyNumberFormat="1" applyFont="1" applyFill="1" applyBorder="1" applyAlignment="1">
      <alignment horizontal="center" vertical="center"/>
    </xf>
    <xf numFmtId="3" fontId="79" fillId="11" borderId="1" xfId="0" applyNumberFormat="1" applyFont="1" applyFill="1" applyBorder="1"/>
    <xf numFmtId="166" fontId="82" fillId="11" borderId="1" xfId="0" applyNumberFormat="1" applyFont="1" applyFill="1" applyBorder="1" applyAlignment="1">
      <alignment horizontal="center" vertical="center"/>
    </xf>
    <xf numFmtId="0" fontId="28" fillId="11" borderId="10" xfId="0" applyFont="1" applyFill="1" applyBorder="1"/>
    <xf numFmtId="0" fontId="65" fillId="11" borderId="10" xfId="0" applyFont="1" applyFill="1" applyBorder="1" applyAlignment="1">
      <alignment horizontal="center"/>
    </xf>
    <xf numFmtId="3" fontId="79" fillId="11" borderId="10" xfId="0" applyNumberFormat="1" applyFont="1" applyFill="1" applyBorder="1" applyAlignment="1">
      <alignment horizontal="center" vertical="center"/>
    </xf>
    <xf numFmtId="3" fontId="79" fillId="11" borderId="10" xfId="0" applyNumberFormat="1" applyFont="1" applyFill="1" applyBorder="1"/>
    <xf numFmtId="166" fontId="82" fillId="11" borderId="10" xfId="0" applyNumberFormat="1" applyFont="1" applyFill="1" applyBorder="1" applyAlignment="1">
      <alignment horizontal="center" vertical="center"/>
    </xf>
    <xf numFmtId="3" fontId="85" fillId="11" borderId="1" xfId="0" applyNumberFormat="1" applyFont="1" applyFill="1" applyBorder="1" applyAlignment="1">
      <alignment horizontal="center" vertical="center"/>
    </xf>
    <xf numFmtId="3" fontId="84" fillId="11" borderId="1" xfId="0" applyNumberFormat="1" applyFont="1" applyFill="1" applyBorder="1" applyAlignment="1">
      <alignment horizontal="center" vertical="center"/>
    </xf>
    <xf numFmtId="3" fontId="85" fillId="11" borderId="10" xfId="0" applyNumberFormat="1" applyFont="1" applyFill="1" applyBorder="1" applyAlignment="1">
      <alignment horizontal="center" vertical="center"/>
    </xf>
    <xf numFmtId="3" fontId="84" fillId="11" borderId="10" xfId="0" applyNumberFormat="1" applyFont="1" applyFill="1" applyBorder="1" applyAlignment="1">
      <alignment horizontal="center" vertical="center"/>
    </xf>
    <xf numFmtId="166" fontId="79" fillId="11" borderId="1" xfId="0" applyNumberFormat="1" applyFont="1" applyFill="1" applyBorder="1" applyAlignment="1">
      <alignment horizontal="center"/>
    </xf>
    <xf numFmtId="3" fontId="68" fillId="11" borderId="1" xfId="0" applyNumberFormat="1" applyFont="1" applyFill="1" applyBorder="1" applyAlignment="1">
      <alignment horizontal="center" vertical="center"/>
    </xf>
    <xf numFmtId="167" fontId="88" fillId="31" borderId="1" xfId="0" applyNumberFormat="1" applyFont="1" applyFill="1" applyBorder="1" applyAlignment="1">
      <alignment horizontal="center"/>
    </xf>
    <xf numFmtId="167" fontId="89" fillId="31" borderId="1" xfId="0" applyNumberFormat="1" applyFont="1" applyFill="1" applyBorder="1" applyAlignment="1">
      <alignment horizontal="center"/>
    </xf>
    <xf numFmtId="167" fontId="90" fillId="5" borderId="1" xfId="0" applyNumberFormat="1" applyFont="1" applyFill="1" applyBorder="1" applyAlignment="1">
      <alignment horizontal="center"/>
    </xf>
    <xf numFmtId="167" fontId="91" fillId="5" borderId="1" xfId="0" applyNumberFormat="1" applyFont="1" applyFill="1" applyBorder="1" applyAlignment="1">
      <alignment horizontal="center"/>
    </xf>
    <xf numFmtId="0" fontId="92" fillId="0" borderId="0" xfId="0" applyFont="1" applyAlignment="1">
      <alignment horizontal="right"/>
    </xf>
    <xf numFmtId="0" fontId="38" fillId="0" borderId="0" xfId="0" applyFont="1" applyAlignment="1">
      <alignment vertical="center" wrapText="1"/>
    </xf>
    <xf numFmtId="0" fontId="51" fillId="26" borderId="0" xfId="0" applyFont="1" applyFill="1" applyAlignment="1">
      <alignment horizontal="center"/>
    </xf>
    <xf numFmtId="0" fontId="51" fillId="25" borderId="0" xfId="0" applyFont="1" applyFill="1" applyAlignment="1">
      <alignment horizontal="center"/>
    </xf>
    <xf numFmtId="0" fontId="51" fillId="27" borderId="0" xfId="0" applyFont="1" applyFill="1" applyAlignment="1">
      <alignment horizontal="center"/>
    </xf>
    <xf numFmtId="0" fontId="41" fillId="0" borderId="42" xfId="0" applyFont="1" applyBorder="1"/>
    <xf numFmtId="0" fontId="41" fillId="0" borderId="43" xfId="0" applyFont="1" applyBorder="1"/>
    <xf numFmtId="0" fontId="0" fillId="0" borderId="44" xfId="0" applyBorder="1"/>
    <xf numFmtId="0" fontId="41" fillId="0" borderId="4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74" xfId="0" applyBorder="1"/>
    <xf numFmtId="0" fontId="43" fillId="0" borderId="41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2" fillId="0" borderId="41" xfId="0" applyFont="1" applyBorder="1" applyAlignment="1">
      <alignment vertical="top"/>
    </xf>
    <xf numFmtId="0" fontId="42" fillId="0" borderId="45" xfId="0" applyFont="1" applyBorder="1" applyAlignment="1">
      <alignment vertical="top"/>
    </xf>
    <xf numFmtId="0" fontId="42" fillId="0" borderId="12" xfId="0" applyFont="1" applyBorder="1" applyAlignment="1">
      <alignment vertical="top"/>
    </xf>
    <xf numFmtId="0" fontId="0" fillId="0" borderId="46" xfId="0" applyBorder="1"/>
    <xf numFmtId="0" fontId="0" fillId="0" borderId="75" xfId="0" applyBorder="1"/>
    <xf numFmtId="0" fontId="103" fillId="0" borderId="33" xfId="0" applyFont="1" applyBorder="1" applyAlignment="1">
      <alignment horizontal="center" vertical="center"/>
    </xf>
    <xf numFmtId="0" fontId="104" fillId="11" borderId="34" xfId="0" applyFont="1" applyFill="1" applyBorder="1" applyAlignment="1">
      <alignment horizontal="center" vertical="center"/>
    </xf>
    <xf numFmtId="0" fontId="13" fillId="24" borderId="0" xfId="0" applyFont="1" applyFill="1"/>
    <xf numFmtId="166" fontId="68" fillId="0" borderId="1" xfId="0" applyNumberFormat="1" applyFont="1" applyBorder="1"/>
    <xf numFmtId="3" fontId="67" fillId="0" borderId="1" xfId="0" applyNumberFormat="1" applyFont="1" applyBorder="1"/>
    <xf numFmtId="3" fontId="79" fillId="0" borderId="1" xfId="0" applyNumberFormat="1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75" fillId="0" borderId="37" xfId="0" applyFont="1" applyBorder="1" applyAlignment="1">
      <alignment horizontal="center" vertical="center" wrapText="1"/>
    </xf>
    <xf numFmtId="0" fontId="75" fillId="0" borderId="39" xfId="0" applyFont="1" applyBorder="1" applyAlignment="1">
      <alignment horizontal="center" vertical="center" wrapText="1"/>
    </xf>
    <xf numFmtId="0" fontId="77" fillId="21" borderId="1" xfId="0" applyFont="1" applyFill="1" applyBorder="1" applyAlignment="1">
      <alignment horizontal="center" vertical="center" wrapText="1"/>
    </xf>
    <xf numFmtId="0" fontId="71" fillId="14" borderId="40" xfId="0" applyFont="1" applyFill="1" applyBorder="1" applyAlignment="1">
      <alignment horizontal="center" vertical="center"/>
    </xf>
    <xf numFmtId="0" fontId="73" fillId="21" borderId="10" xfId="0" applyFont="1" applyFill="1" applyBorder="1" applyAlignment="1">
      <alignment horizontal="center" vertical="center" wrapText="1"/>
    </xf>
    <xf numFmtId="0" fontId="73" fillId="21" borderId="11" xfId="0" applyFont="1" applyFill="1" applyBorder="1" applyAlignment="1">
      <alignment horizontal="center" vertical="center" wrapText="1"/>
    </xf>
    <xf numFmtId="0" fontId="73" fillId="21" borderId="9" xfId="0" applyFont="1" applyFill="1" applyBorder="1" applyAlignment="1">
      <alignment horizontal="center" vertical="center" wrapText="1"/>
    </xf>
    <xf numFmtId="0" fontId="72" fillId="14" borderId="40" xfId="0" applyFont="1" applyFill="1" applyBorder="1" applyAlignment="1">
      <alignment horizontal="center" vertical="center"/>
    </xf>
    <xf numFmtId="0" fontId="75" fillId="0" borderId="39" xfId="0" applyFont="1" applyBorder="1" applyAlignment="1">
      <alignment horizontal="center" wrapText="1"/>
    </xf>
    <xf numFmtId="0" fontId="77" fillId="3" borderId="1" xfId="0" applyFont="1" applyFill="1" applyBorder="1" applyAlignment="1">
      <alignment horizontal="center" vertical="center" wrapText="1"/>
    </xf>
    <xf numFmtId="0" fontId="73" fillId="3" borderId="10" xfId="0" applyFont="1" applyFill="1" applyBorder="1" applyAlignment="1">
      <alignment horizontal="center" vertical="center" wrapText="1"/>
    </xf>
    <xf numFmtId="0" fontId="73" fillId="3" borderId="11" xfId="0" applyFont="1" applyFill="1" applyBorder="1" applyAlignment="1">
      <alignment horizontal="center" vertical="center" wrapText="1"/>
    </xf>
    <xf numFmtId="0" fontId="73" fillId="3" borderId="9" xfId="0" applyFont="1" applyFill="1" applyBorder="1" applyAlignment="1">
      <alignment horizontal="center" vertical="center" wrapText="1"/>
    </xf>
    <xf numFmtId="0" fontId="77" fillId="32" borderId="1" xfId="0" applyFont="1" applyFill="1" applyBorder="1" applyAlignment="1">
      <alignment horizontal="center" vertical="center" wrapText="1"/>
    </xf>
    <xf numFmtId="0" fontId="69" fillId="4" borderId="41" xfId="0" applyFont="1" applyFill="1" applyBorder="1" applyAlignment="1">
      <alignment horizontal="center" vertical="center" textRotation="90"/>
    </xf>
    <xf numFmtId="0" fontId="74" fillId="0" borderId="39" xfId="0" applyFont="1" applyBorder="1" applyAlignment="1">
      <alignment horizontal="center" vertical="top" wrapText="1"/>
    </xf>
    <xf numFmtId="0" fontId="74" fillId="0" borderId="38" xfId="0" applyFont="1" applyBorder="1" applyAlignment="1">
      <alignment horizontal="center" vertical="top" wrapText="1"/>
    </xf>
    <xf numFmtId="0" fontId="73" fillId="32" borderId="10" xfId="0" applyFont="1" applyFill="1" applyBorder="1" applyAlignment="1">
      <alignment horizontal="center" vertical="center" wrapText="1"/>
    </xf>
    <xf numFmtId="0" fontId="73" fillId="32" borderId="11" xfId="0" applyFont="1" applyFill="1" applyBorder="1" applyAlignment="1">
      <alignment horizontal="center" vertical="center" wrapText="1"/>
    </xf>
    <xf numFmtId="0" fontId="73" fillId="32" borderId="9" xfId="0" applyFont="1" applyFill="1" applyBorder="1" applyAlignment="1">
      <alignment horizontal="center" vertical="center" wrapText="1"/>
    </xf>
    <xf numFmtId="0" fontId="71" fillId="14" borderId="41" xfId="0" applyFont="1" applyFill="1" applyBorder="1" applyAlignment="1">
      <alignment horizontal="center" vertical="center"/>
    </xf>
    <xf numFmtId="0" fontId="75" fillId="3" borderId="37" xfId="0" applyFont="1" applyFill="1" applyBorder="1" applyAlignment="1">
      <alignment horizontal="center" vertical="center" wrapText="1"/>
    </xf>
    <xf numFmtId="0" fontId="75" fillId="3" borderId="39" xfId="0" applyFont="1" applyFill="1" applyBorder="1" applyAlignment="1">
      <alignment horizontal="center" vertical="center" wrapText="1"/>
    </xf>
    <xf numFmtId="0" fontId="75" fillId="3" borderId="38" xfId="0" applyFont="1" applyFill="1" applyBorder="1" applyAlignment="1">
      <alignment horizontal="center" vertical="center" wrapText="1"/>
    </xf>
    <xf numFmtId="0" fontId="83" fillId="32" borderId="37" xfId="0" applyFont="1" applyFill="1" applyBorder="1" applyAlignment="1">
      <alignment horizontal="center" vertical="center" wrapText="1"/>
    </xf>
    <xf numFmtId="0" fontId="83" fillId="32" borderId="39" xfId="0" applyFont="1" applyFill="1" applyBorder="1" applyAlignment="1">
      <alignment horizontal="center" vertical="center" wrapText="1"/>
    </xf>
    <xf numFmtId="0" fontId="83" fillId="32" borderId="38" xfId="0" applyFont="1" applyFill="1" applyBorder="1" applyAlignment="1">
      <alignment horizontal="center" vertical="center" wrapText="1"/>
    </xf>
    <xf numFmtId="0" fontId="96" fillId="0" borderId="63" xfId="0" applyFont="1" applyBorder="1" applyAlignment="1">
      <alignment horizontal="right" vertical="center" wrapText="1"/>
    </xf>
    <xf numFmtId="0" fontId="96" fillId="0" borderId="64" xfId="0" applyFont="1" applyBorder="1" applyAlignment="1">
      <alignment horizontal="right" vertical="center" wrapText="1"/>
    </xf>
    <xf numFmtId="0" fontId="96" fillId="0" borderId="65" xfId="0" applyFont="1" applyBorder="1" applyAlignment="1">
      <alignment horizontal="right" vertical="center" wrapText="1"/>
    </xf>
    <xf numFmtId="0" fontId="97" fillId="23" borderId="58" xfId="0" applyFont="1" applyFill="1" applyBorder="1" applyAlignment="1">
      <alignment horizontal="center" vertical="center" wrapText="1"/>
    </xf>
    <xf numFmtId="0" fontId="97" fillId="23" borderId="59" xfId="0" applyFont="1" applyFill="1" applyBorder="1" applyAlignment="1">
      <alignment horizontal="center" vertical="center" wrapText="1"/>
    </xf>
    <xf numFmtId="0" fontId="97" fillId="23" borderId="0" xfId="0" applyFont="1" applyFill="1" applyAlignment="1">
      <alignment horizontal="center" vertical="center" wrapText="1"/>
    </xf>
    <xf numFmtId="0" fontId="97" fillId="23" borderId="60" xfId="0" applyFont="1" applyFill="1" applyBorder="1" applyAlignment="1">
      <alignment horizontal="center" vertical="center" wrapText="1"/>
    </xf>
    <xf numFmtId="0" fontId="97" fillId="23" borderId="61" xfId="0" applyFont="1" applyFill="1" applyBorder="1" applyAlignment="1">
      <alignment horizontal="center" vertical="center" wrapText="1"/>
    </xf>
    <xf numFmtId="0" fontId="97" fillId="23" borderId="62" xfId="0" applyFont="1" applyFill="1" applyBorder="1" applyAlignment="1">
      <alignment horizontal="center" vertical="center" wrapText="1"/>
    </xf>
    <xf numFmtId="0" fontId="93" fillId="7" borderId="53" xfId="0" applyFont="1" applyFill="1" applyBorder="1" applyAlignment="1">
      <alignment horizontal="center" vertical="center" wrapText="1"/>
    </xf>
    <xf numFmtId="0" fontId="93" fillId="7" borderId="0" xfId="0" applyFont="1" applyFill="1" applyAlignment="1">
      <alignment horizontal="center" vertical="center" wrapText="1"/>
    </xf>
    <xf numFmtId="0" fontId="93" fillId="7" borderId="54" xfId="0" applyFont="1" applyFill="1" applyBorder="1" applyAlignment="1">
      <alignment horizontal="center" vertical="center" wrapText="1"/>
    </xf>
    <xf numFmtId="0" fontId="93" fillId="7" borderId="55" xfId="0" applyFont="1" applyFill="1" applyBorder="1" applyAlignment="1">
      <alignment horizontal="center" vertical="center" wrapText="1"/>
    </xf>
    <xf numFmtId="0" fontId="93" fillId="7" borderId="56" xfId="0" applyFont="1" applyFill="1" applyBorder="1" applyAlignment="1">
      <alignment horizontal="center" vertical="center" wrapText="1"/>
    </xf>
    <xf numFmtId="0" fontId="93" fillId="7" borderId="57" xfId="0" applyFont="1" applyFill="1" applyBorder="1" applyAlignment="1">
      <alignment horizontal="center" vertical="center" wrapText="1"/>
    </xf>
    <xf numFmtId="0" fontId="95" fillId="0" borderId="66" xfId="0" applyFont="1" applyBorder="1" applyAlignment="1">
      <alignment horizontal="center" vertical="center" wrapText="1"/>
    </xf>
    <xf numFmtId="0" fontId="95" fillId="0" borderId="67" xfId="0" applyFont="1" applyBorder="1" applyAlignment="1">
      <alignment horizontal="center" vertical="center" wrapText="1"/>
    </xf>
    <xf numFmtId="0" fontId="95" fillId="0" borderId="68" xfId="0" applyFont="1" applyBorder="1" applyAlignment="1">
      <alignment horizontal="center" vertical="center" wrapText="1"/>
    </xf>
    <xf numFmtId="0" fontId="95" fillId="0" borderId="69" xfId="0" applyFont="1" applyBorder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5" fillId="0" borderId="70" xfId="0" applyFont="1" applyBorder="1" applyAlignment="1">
      <alignment horizontal="center" vertical="center" wrapText="1"/>
    </xf>
    <xf numFmtId="0" fontId="95" fillId="0" borderId="71" xfId="0" applyFont="1" applyBorder="1" applyAlignment="1">
      <alignment horizontal="center" vertical="center" wrapText="1"/>
    </xf>
    <xf numFmtId="0" fontId="95" fillId="0" borderId="72" xfId="0" applyFont="1" applyBorder="1" applyAlignment="1">
      <alignment horizontal="center" vertical="center" wrapText="1"/>
    </xf>
    <xf numFmtId="0" fontId="95" fillId="0" borderId="73" xfId="0" applyFont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75" fillId="0" borderId="38" xfId="0" applyFont="1" applyBorder="1" applyAlignment="1">
      <alignment horizontal="center" vertical="center" wrapText="1"/>
    </xf>
    <xf numFmtId="0" fontId="78" fillId="0" borderId="37" xfId="0" applyFont="1" applyBorder="1" applyAlignment="1">
      <alignment horizontal="center" vertical="center" wrapText="1"/>
    </xf>
    <xf numFmtId="0" fontId="78" fillId="0" borderId="39" xfId="0" applyFont="1" applyBorder="1" applyAlignment="1">
      <alignment horizontal="center" vertical="center" wrapText="1"/>
    </xf>
    <xf numFmtId="0" fontId="78" fillId="0" borderId="38" xfId="0" applyFont="1" applyBorder="1" applyAlignment="1">
      <alignment horizontal="center" vertical="center" wrapText="1"/>
    </xf>
    <xf numFmtId="0" fontId="69" fillId="0" borderId="0" xfId="0" applyFont="1" applyAlignment="1">
      <alignment horizontal="center" vertical="center" textRotation="90"/>
    </xf>
    <xf numFmtId="0" fontId="73" fillId="0" borderId="10" xfId="0" applyFont="1" applyBorder="1" applyAlignment="1">
      <alignment horizontal="center" vertical="center" wrapText="1"/>
    </xf>
    <xf numFmtId="0" fontId="73" fillId="0" borderId="11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37" fillId="4" borderId="21" xfId="0" applyFont="1" applyFill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37" fillId="4" borderId="23" xfId="0" applyFont="1" applyFill="1" applyBorder="1" applyAlignment="1">
      <alignment horizontal="center" vertical="center" wrapText="1"/>
    </xf>
    <xf numFmtId="0" fontId="37" fillId="4" borderId="24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7" fillId="4" borderId="25" xfId="0" applyFont="1" applyFill="1" applyBorder="1" applyAlignment="1">
      <alignment horizontal="center" vertical="center" wrapText="1"/>
    </xf>
    <xf numFmtId="0" fontId="37" fillId="4" borderId="26" xfId="0" applyFont="1" applyFill="1" applyBorder="1" applyAlignment="1">
      <alignment horizontal="center" vertical="center" wrapText="1"/>
    </xf>
    <xf numFmtId="0" fontId="37" fillId="4" borderId="27" xfId="0" applyFont="1" applyFill="1" applyBorder="1" applyAlignment="1">
      <alignment horizontal="center" vertical="center" wrapText="1"/>
    </xf>
    <xf numFmtId="0" fontId="37" fillId="4" borderId="28" xfId="0" applyFont="1" applyFill="1" applyBorder="1" applyAlignment="1">
      <alignment horizontal="center" vertical="center" wrapText="1"/>
    </xf>
    <xf numFmtId="0" fontId="110" fillId="37" borderId="21" xfId="0" applyFont="1" applyFill="1" applyBorder="1" applyAlignment="1">
      <alignment horizontal="center" vertical="center" wrapText="1"/>
    </xf>
    <xf numFmtId="0" fontId="110" fillId="37" borderId="22" xfId="0" applyFont="1" applyFill="1" applyBorder="1" applyAlignment="1">
      <alignment horizontal="center" vertical="center" wrapText="1"/>
    </xf>
    <xf numFmtId="0" fontId="110" fillId="37" borderId="23" xfId="0" applyFont="1" applyFill="1" applyBorder="1" applyAlignment="1">
      <alignment horizontal="center" vertical="center" wrapText="1"/>
    </xf>
    <xf numFmtId="0" fontId="110" fillId="37" borderId="24" xfId="0" applyFont="1" applyFill="1" applyBorder="1" applyAlignment="1">
      <alignment horizontal="center" vertical="center" wrapText="1"/>
    </xf>
    <xf numFmtId="0" fontId="110" fillId="37" borderId="0" xfId="0" applyFont="1" applyFill="1" applyAlignment="1">
      <alignment horizontal="center" vertical="center" wrapText="1"/>
    </xf>
    <xf numFmtId="0" fontId="110" fillId="37" borderId="25" xfId="0" applyFont="1" applyFill="1" applyBorder="1" applyAlignment="1">
      <alignment horizontal="center" vertical="center" wrapText="1"/>
    </xf>
    <xf numFmtId="0" fontId="110" fillId="37" borderId="26" xfId="0" applyFont="1" applyFill="1" applyBorder="1" applyAlignment="1">
      <alignment horizontal="center" vertical="center" wrapText="1"/>
    </xf>
    <xf numFmtId="0" fontId="110" fillId="37" borderId="27" xfId="0" applyFont="1" applyFill="1" applyBorder="1" applyAlignment="1">
      <alignment horizontal="center" vertical="center" wrapText="1"/>
    </xf>
    <xf numFmtId="0" fontId="110" fillId="37" borderId="28" xfId="0" applyFont="1" applyFill="1" applyBorder="1" applyAlignment="1">
      <alignment horizontal="center" vertical="center" wrapText="1"/>
    </xf>
    <xf numFmtId="0" fontId="38" fillId="7" borderId="16" xfId="0" applyFont="1" applyFill="1" applyBorder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0" fontId="38" fillId="7" borderId="17" xfId="0" applyFont="1" applyFill="1" applyBorder="1" applyAlignment="1">
      <alignment horizontal="center" vertical="center" wrapText="1"/>
    </xf>
    <xf numFmtId="0" fontId="38" fillId="7" borderId="18" xfId="0" applyFont="1" applyFill="1" applyBorder="1" applyAlignment="1">
      <alignment horizontal="center" vertical="center" wrapText="1"/>
    </xf>
    <xf numFmtId="0" fontId="38" fillId="7" borderId="19" xfId="0" applyFont="1" applyFill="1" applyBorder="1" applyAlignment="1">
      <alignment horizontal="center" vertical="center" wrapText="1"/>
    </xf>
    <xf numFmtId="0" fontId="38" fillId="7" borderId="20" xfId="0" applyFont="1" applyFill="1" applyBorder="1" applyAlignment="1">
      <alignment horizontal="center" vertical="center" wrapText="1"/>
    </xf>
    <xf numFmtId="0" fontId="10" fillId="18" borderId="13" xfId="0" applyFont="1" applyFill="1" applyBorder="1" applyAlignment="1">
      <alignment horizontal="right"/>
    </xf>
    <xf numFmtId="0" fontId="10" fillId="18" borderId="14" xfId="0" applyFont="1" applyFill="1" applyBorder="1" applyAlignment="1">
      <alignment horizontal="right"/>
    </xf>
    <xf numFmtId="0" fontId="10" fillId="6" borderId="13" xfId="0" applyFont="1" applyFill="1" applyBorder="1" applyAlignment="1">
      <alignment horizontal="right"/>
    </xf>
    <xf numFmtId="0" fontId="10" fillId="6" borderId="14" xfId="0" applyFont="1" applyFill="1" applyBorder="1" applyAlignment="1">
      <alignment horizontal="right"/>
    </xf>
    <xf numFmtId="0" fontId="10" fillId="4" borderId="13" xfId="0" applyFont="1" applyFill="1" applyBorder="1" applyAlignment="1">
      <alignment horizontal="right"/>
    </xf>
    <xf numFmtId="0" fontId="10" fillId="4" borderId="14" xfId="0" applyFont="1" applyFill="1" applyBorder="1" applyAlignment="1">
      <alignment horizontal="right"/>
    </xf>
    <xf numFmtId="0" fontId="10" fillId="21" borderId="7" xfId="0" applyFont="1" applyFill="1" applyBorder="1" applyAlignment="1">
      <alignment horizontal="right"/>
    </xf>
    <xf numFmtId="0" fontId="10" fillId="20" borderId="13" xfId="0" applyFont="1" applyFill="1" applyBorder="1" applyAlignment="1">
      <alignment horizontal="right"/>
    </xf>
    <xf numFmtId="0" fontId="10" fillId="20" borderId="14" xfId="0" applyFont="1" applyFill="1" applyBorder="1" applyAlignment="1">
      <alignment horizontal="right"/>
    </xf>
    <xf numFmtId="0" fontId="10" fillId="5" borderId="13" xfId="0" applyFont="1" applyFill="1" applyBorder="1" applyAlignment="1">
      <alignment horizontal="right"/>
    </xf>
    <xf numFmtId="0" fontId="10" fillId="5" borderId="14" xfId="0" applyFont="1" applyFill="1" applyBorder="1" applyAlignment="1">
      <alignment horizontal="right"/>
    </xf>
    <xf numFmtId="0" fontId="10" fillId="10" borderId="13" xfId="0" applyFont="1" applyFill="1" applyBorder="1" applyAlignment="1">
      <alignment horizontal="right"/>
    </xf>
    <xf numFmtId="0" fontId="10" fillId="10" borderId="14" xfId="0" applyFont="1" applyFill="1" applyBorder="1" applyAlignment="1">
      <alignment horizontal="right"/>
    </xf>
    <xf numFmtId="0" fontId="10" fillId="17" borderId="13" xfId="0" applyFont="1" applyFill="1" applyBorder="1" applyAlignment="1">
      <alignment horizontal="right"/>
    </xf>
    <xf numFmtId="0" fontId="10" fillId="17" borderId="14" xfId="0" applyFont="1" applyFill="1" applyBorder="1" applyAlignment="1">
      <alignment horizontal="right"/>
    </xf>
    <xf numFmtId="0" fontId="10" fillId="8" borderId="13" xfId="0" applyFont="1" applyFill="1" applyBorder="1" applyAlignment="1">
      <alignment horizontal="right"/>
    </xf>
    <xf numFmtId="0" fontId="10" fillId="8" borderId="14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0" fillId="3" borderId="14" xfId="0" applyFont="1" applyFill="1" applyBorder="1" applyAlignment="1">
      <alignment horizontal="right"/>
    </xf>
    <xf numFmtId="0" fontId="10" fillId="16" borderId="13" xfId="0" applyFont="1" applyFill="1" applyBorder="1" applyAlignment="1">
      <alignment horizontal="right"/>
    </xf>
    <xf numFmtId="0" fontId="10" fillId="16" borderId="14" xfId="0" applyFont="1" applyFill="1" applyBorder="1" applyAlignment="1">
      <alignment horizontal="right"/>
    </xf>
    <xf numFmtId="0" fontId="10" fillId="19" borderId="13" xfId="0" applyFont="1" applyFill="1" applyBorder="1" applyAlignment="1">
      <alignment horizontal="right"/>
    </xf>
    <xf numFmtId="0" fontId="10" fillId="19" borderId="14" xfId="0" applyFont="1" applyFill="1" applyBorder="1" applyAlignment="1">
      <alignment horizontal="right"/>
    </xf>
    <xf numFmtId="0" fontId="40" fillId="4" borderId="0" xfId="0" applyFont="1" applyFill="1" applyAlignment="1">
      <alignment horizontal="right" vertical="center"/>
    </xf>
    <xf numFmtId="168" fontId="109" fillId="8" borderId="0" xfId="0" applyNumberFormat="1" applyFont="1" applyFill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16" borderId="13" xfId="0" applyFont="1" applyFill="1" applyBorder="1" applyAlignment="1">
      <alignment horizontal="center"/>
    </xf>
    <xf numFmtId="0" fontId="12" fillId="16" borderId="14" xfId="0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12" fillId="19" borderId="13" xfId="0" applyFont="1" applyFill="1" applyBorder="1" applyAlignment="1">
      <alignment horizontal="center"/>
    </xf>
    <xf numFmtId="0" fontId="12" fillId="19" borderId="14" xfId="0" applyFont="1" applyFill="1" applyBorder="1" applyAlignment="1">
      <alignment horizontal="center"/>
    </xf>
    <xf numFmtId="0" fontId="12" fillId="19" borderId="3" xfId="0" applyFont="1" applyFill="1" applyBorder="1" applyAlignment="1">
      <alignment horizontal="center"/>
    </xf>
    <xf numFmtId="0" fontId="22" fillId="18" borderId="13" xfId="0" applyFont="1" applyFill="1" applyBorder="1" applyAlignment="1">
      <alignment horizontal="center"/>
    </xf>
    <xf numFmtId="0" fontId="22" fillId="18" borderId="14" xfId="0" applyFont="1" applyFill="1" applyBorder="1" applyAlignment="1">
      <alignment horizontal="center"/>
    </xf>
    <xf numFmtId="0" fontId="22" fillId="18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2" fillId="20" borderId="13" xfId="0" applyFont="1" applyFill="1" applyBorder="1" applyAlignment="1">
      <alignment horizontal="center"/>
    </xf>
    <xf numFmtId="0" fontId="22" fillId="20" borderId="14" xfId="0" applyFont="1" applyFill="1" applyBorder="1" applyAlignment="1">
      <alignment horizontal="center"/>
    </xf>
    <xf numFmtId="0" fontId="22" fillId="20" borderId="3" xfId="0" applyFont="1" applyFill="1" applyBorder="1" applyAlignment="1">
      <alignment horizontal="center"/>
    </xf>
    <xf numFmtId="0" fontId="22" fillId="21" borderId="13" xfId="0" applyFont="1" applyFill="1" applyBorder="1" applyAlignment="1">
      <alignment horizontal="center"/>
    </xf>
    <xf numFmtId="0" fontId="22" fillId="21" borderId="14" xfId="0" applyFont="1" applyFill="1" applyBorder="1" applyAlignment="1">
      <alignment horizontal="center"/>
    </xf>
    <xf numFmtId="0" fontId="22" fillId="21" borderId="3" xfId="0" applyFont="1" applyFill="1" applyBorder="1" applyAlignment="1">
      <alignment horizontal="center"/>
    </xf>
    <xf numFmtId="14" fontId="24" fillId="20" borderId="13" xfId="0" applyNumberFormat="1" applyFont="1" applyFill="1" applyBorder="1" applyAlignment="1">
      <alignment horizontal="right"/>
    </xf>
    <xf numFmtId="14" fontId="24" fillId="20" borderId="14" xfId="0" applyNumberFormat="1" applyFont="1" applyFill="1" applyBorder="1" applyAlignment="1">
      <alignment horizontal="right"/>
    </xf>
    <xf numFmtId="14" fontId="24" fillId="20" borderId="3" xfId="0" applyNumberFormat="1" applyFont="1" applyFill="1" applyBorder="1" applyAlignment="1">
      <alignment horizontal="right"/>
    </xf>
    <xf numFmtId="14" fontId="24" fillId="21" borderId="13" xfId="0" applyNumberFormat="1" applyFont="1" applyFill="1" applyBorder="1" applyAlignment="1">
      <alignment horizontal="right"/>
    </xf>
    <xf numFmtId="14" fontId="24" fillId="21" borderId="14" xfId="0" applyNumberFormat="1" applyFont="1" applyFill="1" applyBorder="1" applyAlignment="1">
      <alignment horizontal="right"/>
    </xf>
    <xf numFmtId="14" fontId="24" fillId="21" borderId="3" xfId="0" applyNumberFormat="1" applyFont="1" applyFill="1" applyBorder="1" applyAlignment="1">
      <alignment horizontal="right"/>
    </xf>
    <xf numFmtId="0" fontId="32" fillId="22" borderId="6" xfId="0" applyFont="1" applyFill="1" applyBorder="1" applyAlignment="1">
      <alignment horizontal="center"/>
    </xf>
    <xf numFmtId="0" fontId="32" fillId="22" borderId="7" xfId="0" applyFont="1" applyFill="1" applyBorder="1" applyAlignment="1">
      <alignment horizontal="center"/>
    </xf>
    <xf numFmtId="0" fontId="32" fillId="22" borderId="8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14" fontId="24" fillId="10" borderId="13" xfId="0" applyNumberFormat="1" applyFont="1" applyFill="1" applyBorder="1" applyAlignment="1">
      <alignment horizontal="right"/>
    </xf>
    <xf numFmtId="14" fontId="24" fillId="10" borderId="14" xfId="0" applyNumberFormat="1" applyFont="1" applyFill="1" applyBorder="1" applyAlignment="1">
      <alignment horizontal="right"/>
    </xf>
    <xf numFmtId="14" fontId="24" fillId="10" borderId="3" xfId="0" applyNumberFormat="1" applyFont="1" applyFill="1" applyBorder="1" applyAlignment="1">
      <alignment horizontal="right"/>
    </xf>
    <xf numFmtId="0" fontId="22" fillId="6" borderId="13" xfId="0" applyFont="1" applyFill="1" applyBorder="1" applyAlignment="1">
      <alignment horizontal="center"/>
    </xf>
    <xf numFmtId="0" fontId="22" fillId="6" borderId="14" xfId="0" applyFont="1" applyFill="1" applyBorder="1" applyAlignment="1">
      <alignment horizontal="center"/>
    </xf>
    <xf numFmtId="0" fontId="22" fillId="6" borderId="3" xfId="0" applyFont="1" applyFill="1" applyBorder="1" applyAlignment="1">
      <alignment horizontal="center"/>
    </xf>
    <xf numFmtId="0" fontId="22" fillId="4" borderId="13" xfId="0" applyFont="1" applyFill="1" applyBorder="1" applyAlignment="1">
      <alignment horizontal="center"/>
    </xf>
    <xf numFmtId="0" fontId="22" fillId="4" borderId="14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14" fontId="24" fillId="3" borderId="13" xfId="0" applyNumberFormat="1" applyFont="1" applyFill="1" applyBorder="1" applyAlignment="1">
      <alignment horizontal="right"/>
    </xf>
    <xf numFmtId="14" fontId="24" fillId="3" borderId="14" xfId="0" applyNumberFormat="1" applyFont="1" applyFill="1" applyBorder="1" applyAlignment="1">
      <alignment horizontal="right"/>
    </xf>
    <xf numFmtId="14" fontId="24" fillId="3" borderId="3" xfId="0" applyNumberFormat="1" applyFont="1" applyFill="1" applyBorder="1" applyAlignment="1">
      <alignment horizontal="right"/>
    </xf>
    <xf numFmtId="14" fontId="24" fillId="16" borderId="13" xfId="0" applyNumberFormat="1" applyFont="1" applyFill="1" applyBorder="1" applyAlignment="1">
      <alignment horizontal="right"/>
    </xf>
    <xf numFmtId="14" fontId="24" fillId="16" borderId="14" xfId="0" applyNumberFormat="1" applyFont="1" applyFill="1" applyBorder="1" applyAlignment="1">
      <alignment horizontal="right"/>
    </xf>
    <xf numFmtId="14" fontId="24" fillId="16" borderId="3" xfId="0" applyNumberFormat="1" applyFont="1" applyFill="1" applyBorder="1" applyAlignment="1">
      <alignment horizontal="right"/>
    </xf>
    <xf numFmtId="14" fontId="24" fillId="19" borderId="13" xfId="0" applyNumberFormat="1" applyFont="1" applyFill="1" applyBorder="1" applyAlignment="1">
      <alignment horizontal="right"/>
    </xf>
    <xf numFmtId="14" fontId="24" fillId="19" borderId="14" xfId="0" applyNumberFormat="1" applyFont="1" applyFill="1" applyBorder="1" applyAlignment="1">
      <alignment horizontal="right"/>
    </xf>
    <xf numFmtId="14" fontId="24" fillId="19" borderId="3" xfId="0" applyNumberFormat="1" applyFont="1" applyFill="1" applyBorder="1" applyAlignment="1">
      <alignment horizontal="right"/>
    </xf>
    <xf numFmtId="0" fontId="12" fillId="12" borderId="13" xfId="0" applyFont="1" applyFill="1" applyBorder="1" applyAlignment="1">
      <alignment horizontal="center"/>
    </xf>
    <xf numFmtId="0" fontId="12" fillId="12" borderId="14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/>
    </xf>
    <xf numFmtId="14" fontId="24" fillId="12" borderId="13" xfId="0" applyNumberFormat="1" applyFont="1" applyFill="1" applyBorder="1" applyAlignment="1">
      <alignment horizontal="right"/>
    </xf>
    <xf numFmtId="14" fontId="24" fillId="12" borderId="14" xfId="0" applyNumberFormat="1" applyFont="1" applyFill="1" applyBorder="1" applyAlignment="1">
      <alignment horizontal="right"/>
    </xf>
    <xf numFmtId="14" fontId="24" fillId="12" borderId="3" xfId="0" applyNumberFormat="1" applyFont="1" applyFill="1" applyBorder="1" applyAlignment="1">
      <alignment horizontal="right"/>
    </xf>
    <xf numFmtId="0" fontId="12" fillId="5" borderId="13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14" fontId="24" fillId="5" borderId="13" xfId="0" applyNumberFormat="1" applyFont="1" applyFill="1" applyBorder="1" applyAlignment="1">
      <alignment horizontal="right"/>
    </xf>
    <xf numFmtId="14" fontId="24" fillId="5" borderId="14" xfId="0" applyNumberFormat="1" applyFont="1" applyFill="1" applyBorder="1" applyAlignment="1">
      <alignment horizontal="right"/>
    </xf>
    <xf numFmtId="14" fontId="24" fillId="5" borderId="3" xfId="0" applyNumberFormat="1" applyFont="1" applyFill="1" applyBorder="1" applyAlignment="1">
      <alignment horizontal="right"/>
    </xf>
    <xf numFmtId="0" fontId="10" fillId="12" borderId="13" xfId="0" applyFont="1" applyFill="1" applyBorder="1" applyAlignment="1">
      <alignment horizontal="right"/>
    </xf>
    <xf numFmtId="0" fontId="10" fillId="12" borderId="14" xfId="0" applyFont="1" applyFill="1" applyBorder="1" applyAlignment="1">
      <alignment horizontal="right"/>
    </xf>
    <xf numFmtId="14" fontId="24" fillId="9" borderId="13" xfId="0" applyNumberFormat="1" applyFont="1" applyFill="1" applyBorder="1" applyAlignment="1">
      <alignment horizontal="right"/>
    </xf>
    <xf numFmtId="14" fontId="24" fillId="9" borderId="14" xfId="0" applyNumberFormat="1" applyFont="1" applyFill="1" applyBorder="1" applyAlignment="1">
      <alignment horizontal="right"/>
    </xf>
    <xf numFmtId="14" fontId="24" fillId="9" borderId="3" xfId="0" applyNumberFormat="1" applyFont="1" applyFill="1" applyBorder="1" applyAlignment="1">
      <alignment horizontal="right"/>
    </xf>
    <xf numFmtId="0" fontId="10" fillId="9" borderId="13" xfId="0" applyFont="1" applyFill="1" applyBorder="1" applyAlignment="1">
      <alignment horizontal="right"/>
    </xf>
    <xf numFmtId="0" fontId="10" fillId="9" borderId="14" xfId="0" applyFont="1" applyFill="1" applyBorder="1" applyAlignment="1">
      <alignment horizontal="right"/>
    </xf>
    <xf numFmtId="14" fontId="24" fillId="8" borderId="13" xfId="0" applyNumberFormat="1" applyFont="1" applyFill="1" applyBorder="1" applyAlignment="1">
      <alignment horizontal="right"/>
    </xf>
    <xf numFmtId="14" fontId="24" fillId="8" borderId="14" xfId="0" applyNumberFormat="1" applyFont="1" applyFill="1" applyBorder="1" applyAlignment="1">
      <alignment horizontal="right"/>
    </xf>
    <xf numFmtId="14" fontId="24" fillId="8" borderId="3" xfId="0" applyNumberFormat="1" applyFont="1" applyFill="1" applyBorder="1" applyAlignment="1">
      <alignment horizontal="right"/>
    </xf>
    <xf numFmtId="14" fontId="24" fillId="17" borderId="13" xfId="0" applyNumberFormat="1" applyFont="1" applyFill="1" applyBorder="1" applyAlignment="1">
      <alignment horizontal="right"/>
    </xf>
    <xf numFmtId="14" fontId="24" fillId="17" borderId="14" xfId="0" applyNumberFormat="1" applyFont="1" applyFill="1" applyBorder="1" applyAlignment="1">
      <alignment horizontal="right"/>
    </xf>
    <xf numFmtId="14" fontId="24" fillId="17" borderId="3" xfId="0" applyNumberFormat="1" applyFont="1" applyFill="1" applyBorder="1" applyAlignment="1">
      <alignment horizontal="right"/>
    </xf>
    <xf numFmtId="0" fontId="12" fillId="9" borderId="13" xfId="0" applyFont="1" applyFill="1" applyBorder="1" applyAlignment="1">
      <alignment horizontal="center"/>
    </xf>
    <xf numFmtId="0" fontId="12" fillId="9" borderId="14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0" fontId="12" fillId="8" borderId="14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17" borderId="13" xfId="0" applyFont="1" applyFill="1" applyBorder="1" applyAlignment="1">
      <alignment horizontal="center"/>
    </xf>
    <xf numFmtId="0" fontId="12" fillId="17" borderId="14" xfId="0" applyFont="1" applyFill="1" applyBorder="1" applyAlignment="1">
      <alignment horizontal="center"/>
    </xf>
    <xf numFmtId="0" fontId="12" fillId="17" borderId="3" xfId="0" applyFont="1" applyFill="1" applyBorder="1" applyAlignment="1">
      <alignment horizontal="center"/>
    </xf>
    <xf numFmtId="14" fontId="24" fillId="18" borderId="13" xfId="0" applyNumberFormat="1" applyFont="1" applyFill="1" applyBorder="1" applyAlignment="1">
      <alignment horizontal="right"/>
    </xf>
    <xf numFmtId="14" fontId="24" fillId="18" borderId="14" xfId="0" applyNumberFormat="1" applyFont="1" applyFill="1" applyBorder="1" applyAlignment="1">
      <alignment horizontal="right"/>
    </xf>
    <xf numFmtId="14" fontId="24" fillId="18" borderId="3" xfId="0" applyNumberFormat="1" applyFont="1" applyFill="1" applyBorder="1" applyAlignment="1">
      <alignment horizontal="right"/>
    </xf>
    <xf numFmtId="14" fontId="24" fillId="6" borderId="13" xfId="0" applyNumberFormat="1" applyFont="1" applyFill="1" applyBorder="1" applyAlignment="1">
      <alignment horizontal="right"/>
    </xf>
    <xf numFmtId="14" fontId="24" fillId="6" borderId="14" xfId="0" applyNumberFormat="1" applyFont="1" applyFill="1" applyBorder="1" applyAlignment="1">
      <alignment horizontal="right"/>
    </xf>
    <xf numFmtId="14" fontId="24" fillId="6" borderId="3" xfId="0" applyNumberFormat="1" applyFont="1" applyFill="1" applyBorder="1" applyAlignment="1">
      <alignment horizontal="right"/>
    </xf>
    <xf numFmtId="14" fontId="24" fillId="4" borderId="13" xfId="0" applyNumberFormat="1" applyFont="1" applyFill="1" applyBorder="1" applyAlignment="1">
      <alignment horizontal="right"/>
    </xf>
    <xf numFmtId="14" fontId="24" fillId="4" borderId="14" xfId="0" applyNumberFormat="1" applyFont="1" applyFill="1" applyBorder="1" applyAlignment="1">
      <alignment horizontal="right"/>
    </xf>
    <xf numFmtId="14" fontId="24" fillId="4" borderId="3" xfId="0" applyNumberFormat="1" applyFont="1" applyFill="1" applyBorder="1" applyAlignment="1">
      <alignment horizontal="right"/>
    </xf>
    <xf numFmtId="0" fontId="29" fillId="6" borderId="11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 textRotation="255"/>
    </xf>
    <xf numFmtId="0" fontId="29" fillId="20" borderId="11" xfId="0" applyFont="1" applyFill="1" applyBorder="1" applyAlignment="1">
      <alignment horizontal="center" vertical="center" textRotation="255"/>
    </xf>
    <xf numFmtId="0" fontId="29" fillId="20" borderId="11" xfId="0" applyFont="1" applyFill="1" applyBorder="1" applyAlignment="1">
      <alignment horizontal="center" vertical="center"/>
    </xf>
    <xf numFmtId="0" fontId="29" fillId="20" borderId="9" xfId="0" applyFont="1" applyFill="1" applyBorder="1" applyAlignment="1">
      <alignment horizontal="center" vertical="center"/>
    </xf>
    <xf numFmtId="0" fontId="29" fillId="18" borderId="11" xfId="0" applyFont="1" applyFill="1" applyBorder="1" applyAlignment="1">
      <alignment horizontal="center" vertical="center"/>
    </xf>
    <xf numFmtId="0" fontId="29" fillId="18" borderId="9" xfId="0" applyFont="1" applyFill="1" applyBorder="1" applyAlignment="1">
      <alignment horizontal="center" vertical="center"/>
    </xf>
    <xf numFmtId="0" fontId="29" fillId="15" borderId="11" xfId="0" applyFont="1" applyFill="1" applyBorder="1" applyAlignment="1">
      <alignment horizontal="center" vertical="center"/>
    </xf>
    <xf numFmtId="0" fontId="29" fillId="15" borderId="9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 textRotation="255"/>
    </xf>
    <xf numFmtId="0" fontId="29" fillId="4" borderId="11" xfId="0" applyFont="1" applyFill="1" applyBorder="1" applyAlignment="1">
      <alignment horizontal="center" vertical="center" textRotation="255"/>
    </xf>
    <xf numFmtId="0" fontId="29" fillId="4" borderId="11" xfId="0" applyFont="1" applyFill="1" applyBorder="1" applyAlignment="1">
      <alignment horizontal="center" vertical="center"/>
    </xf>
    <xf numFmtId="0" fontId="29" fillId="4" borderId="9" xfId="0" applyFont="1" applyFill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 textRotation="255"/>
    </xf>
    <xf numFmtId="0" fontId="29" fillId="21" borderId="11" xfId="0" applyFont="1" applyFill="1" applyBorder="1" applyAlignment="1">
      <alignment horizontal="center" vertical="center" textRotation="255"/>
    </xf>
    <xf numFmtId="0" fontId="29" fillId="21" borderId="11" xfId="0" applyFont="1" applyFill="1" applyBorder="1" applyAlignment="1">
      <alignment horizontal="center" vertical="center"/>
    </xf>
    <xf numFmtId="0" fontId="29" fillId="21" borderId="9" xfId="0" applyFont="1" applyFill="1" applyBorder="1" applyAlignment="1">
      <alignment horizontal="center" vertical="center"/>
    </xf>
    <xf numFmtId="0" fontId="29" fillId="10" borderId="11" xfId="0" applyFont="1" applyFill="1" applyBorder="1" applyAlignment="1">
      <alignment horizontal="center" vertical="center"/>
    </xf>
    <xf numFmtId="0" fontId="29" fillId="10" borderId="9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 textRotation="255"/>
    </xf>
    <xf numFmtId="0" fontId="29" fillId="6" borderId="11" xfId="0" applyFont="1" applyFill="1" applyBorder="1" applyAlignment="1">
      <alignment horizontal="center" vertical="center" textRotation="255"/>
    </xf>
    <xf numFmtId="0" fontId="29" fillId="14" borderId="10" xfId="0" applyFont="1" applyFill="1" applyBorder="1" applyAlignment="1">
      <alignment horizontal="center" vertical="center" textRotation="255"/>
    </xf>
    <xf numFmtId="0" fontId="29" fillId="14" borderId="11" xfId="0" applyFont="1" applyFill="1" applyBorder="1" applyAlignment="1">
      <alignment horizontal="center" vertical="center" textRotation="255"/>
    </xf>
    <xf numFmtId="0" fontId="29" fillId="14" borderId="11" xfId="0" applyFont="1" applyFill="1" applyBorder="1" applyAlignment="1">
      <alignment horizontal="center" vertical="center"/>
    </xf>
    <xf numFmtId="0" fontId="29" fillId="14" borderId="9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textRotation="255"/>
    </xf>
    <xf numFmtId="0" fontId="29" fillId="3" borderId="11" xfId="0" applyFont="1" applyFill="1" applyBorder="1" applyAlignment="1">
      <alignment horizontal="center" vertical="center" textRotation="255"/>
    </xf>
    <xf numFmtId="0" fontId="29" fillId="3" borderId="11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15" borderId="10" xfId="0" applyFont="1" applyFill="1" applyBorder="1" applyAlignment="1">
      <alignment horizontal="center" vertical="center" textRotation="255"/>
    </xf>
    <xf numFmtId="0" fontId="29" fillId="15" borderId="11" xfId="0" applyFont="1" applyFill="1" applyBorder="1" applyAlignment="1">
      <alignment horizontal="center" vertical="center" textRotation="255"/>
    </xf>
    <xf numFmtId="0" fontId="29" fillId="18" borderId="10" xfId="0" applyFont="1" applyFill="1" applyBorder="1" applyAlignment="1">
      <alignment horizontal="center" vertical="center" textRotation="255"/>
    </xf>
    <xf numFmtId="0" fontId="29" fillId="18" borderId="11" xfId="0" applyFont="1" applyFill="1" applyBorder="1" applyAlignment="1">
      <alignment horizontal="center" vertical="center" textRotation="255"/>
    </xf>
    <xf numFmtId="0" fontId="29" fillId="9" borderId="11" xfId="0" applyFont="1" applyFill="1" applyBorder="1" applyAlignment="1">
      <alignment horizontal="center" vertical="center"/>
    </xf>
    <xf numFmtId="0" fontId="29" fillId="9" borderId="9" xfId="0" applyFont="1" applyFill="1" applyBorder="1" applyAlignment="1">
      <alignment horizontal="center" vertical="center"/>
    </xf>
    <xf numFmtId="0" fontId="29" fillId="17" borderId="10" xfId="0" applyFont="1" applyFill="1" applyBorder="1" applyAlignment="1">
      <alignment horizontal="center" vertical="center" textRotation="255"/>
    </xf>
    <xf numFmtId="0" fontId="29" fillId="17" borderId="11" xfId="0" applyFont="1" applyFill="1" applyBorder="1" applyAlignment="1">
      <alignment horizontal="center" vertical="center" textRotation="255"/>
    </xf>
    <xf numFmtId="0" fontId="29" fillId="17" borderId="11" xfId="0" applyFont="1" applyFill="1" applyBorder="1" applyAlignment="1">
      <alignment horizontal="center" vertical="center"/>
    </xf>
    <xf numFmtId="0" fontId="29" fillId="17" borderId="9" xfId="0" applyFont="1" applyFill="1" applyBorder="1" applyAlignment="1">
      <alignment horizontal="center" vertical="center"/>
    </xf>
    <xf numFmtId="0" fontId="29" fillId="16" borderId="10" xfId="0" applyFont="1" applyFill="1" applyBorder="1" applyAlignment="1">
      <alignment horizontal="center" vertical="center" textRotation="255"/>
    </xf>
    <xf numFmtId="0" fontId="29" fillId="16" borderId="11" xfId="0" applyFont="1" applyFill="1" applyBorder="1" applyAlignment="1">
      <alignment horizontal="center" vertical="center" textRotation="255"/>
    </xf>
    <xf numFmtId="0" fontId="29" fillId="16" borderId="11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9" fillId="5" borderId="10" xfId="0" applyFont="1" applyFill="1" applyBorder="1" applyAlignment="1">
      <alignment horizontal="center" vertical="center" textRotation="255"/>
    </xf>
    <xf numFmtId="0" fontId="29" fillId="5" borderId="11" xfId="0" applyFont="1" applyFill="1" applyBorder="1" applyAlignment="1">
      <alignment horizontal="center" vertical="center" textRotation="255"/>
    </xf>
    <xf numFmtId="0" fontId="29" fillId="5" borderId="11" xfId="0" applyFont="1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29" fillId="9" borderId="10" xfId="0" applyFont="1" applyFill="1" applyBorder="1" applyAlignment="1">
      <alignment horizontal="center" vertical="center" textRotation="255"/>
    </xf>
    <xf numFmtId="0" fontId="29" fillId="9" borderId="11" xfId="0" applyFont="1" applyFill="1" applyBorder="1" applyAlignment="1">
      <alignment horizontal="center" vertical="center" textRotation="255"/>
    </xf>
    <xf numFmtId="168" fontId="17" fillId="0" borderId="12" xfId="0" applyNumberFormat="1" applyFont="1" applyBorder="1" applyAlignment="1">
      <alignment horizontal="left"/>
    </xf>
    <xf numFmtId="0" fontId="17" fillId="0" borderId="0" xfId="0" applyFont="1" applyAlignment="1">
      <alignment horizontal="right"/>
    </xf>
    <xf numFmtId="0" fontId="29" fillId="12" borderId="10" xfId="0" applyFont="1" applyFill="1" applyBorder="1" applyAlignment="1">
      <alignment horizontal="center" vertical="center" textRotation="255"/>
    </xf>
    <xf numFmtId="0" fontId="29" fillId="12" borderId="11" xfId="0" applyFont="1" applyFill="1" applyBorder="1" applyAlignment="1">
      <alignment horizontal="center" vertical="center" textRotation="255"/>
    </xf>
    <xf numFmtId="0" fontId="29" fillId="12" borderId="11" xfId="0" applyFont="1" applyFill="1" applyBorder="1" applyAlignment="1">
      <alignment horizontal="center" vertical="center"/>
    </xf>
    <xf numFmtId="0" fontId="29" fillId="12" borderId="9" xfId="0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 vertical="center" textRotation="255"/>
    </xf>
    <xf numFmtId="0" fontId="29" fillId="10" borderId="11" xfId="0" applyFont="1" applyFill="1" applyBorder="1" applyAlignment="1">
      <alignment horizontal="center" vertical="center" textRotation="255"/>
    </xf>
    <xf numFmtId="0" fontId="108" fillId="4" borderId="21" xfId="0" applyFont="1" applyFill="1" applyBorder="1" applyAlignment="1">
      <alignment horizontal="center" vertical="center" wrapText="1"/>
    </xf>
    <xf numFmtId="0" fontId="108" fillId="4" borderId="22" xfId="0" applyFont="1" applyFill="1" applyBorder="1" applyAlignment="1">
      <alignment horizontal="center" vertical="center" wrapText="1"/>
    </xf>
    <xf numFmtId="0" fontId="108" fillId="4" borderId="23" xfId="0" applyFont="1" applyFill="1" applyBorder="1" applyAlignment="1">
      <alignment horizontal="center" vertical="center" wrapText="1"/>
    </xf>
    <xf numFmtId="0" fontId="108" fillId="4" borderId="24" xfId="0" applyFont="1" applyFill="1" applyBorder="1" applyAlignment="1">
      <alignment horizontal="center" vertical="center" wrapText="1"/>
    </xf>
    <xf numFmtId="0" fontId="108" fillId="4" borderId="0" xfId="0" applyFont="1" applyFill="1" applyAlignment="1">
      <alignment horizontal="center" vertical="center" wrapText="1"/>
    </xf>
    <xf numFmtId="0" fontId="108" fillId="4" borderId="25" xfId="0" applyFont="1" applyFill="1" applyBorder="1" applyAlignment="1">
      <alignment horizontal="center" vertical="center" wrapText="1"/>
    </xf>
    <xf numFmtId="0" fontId="108" fillId="4" borderId="26" xfId="0" applyFont="1" applyFill="1" applyBorder="1" applyAlignment="1">
      <alignment horizontal="center" vertical="center" wrapText="1"/>
    </xf>
    <xf numFmtId="0" fontId="108" fillId="4" borderId="27" xfId="0" applyFont="1" applyFill="1" applyBorder="1" applyAlignment="1">
      <alignment horizontal="center" vertical="center" wrapText="1"/>
    </xf>
    <xf numFmtId="0" fontId="108" fillId="4" borderId="28" xfId="0" applyFont="1" applyFill="1" applyBorder="1" applyAlignment="1">
      <alignment horizontal="center" vertical="center" wrapText="1"/>
    </xf>
    <xf numFmtId="0" fontId="99" fillId="11" borderId="21" xfId="0" applyFont="1" applyFill="1" applyBorder="1" applyAlignment="1">
      <alignment horizontal="center" vertical="center" wrapText="1"/>
    </xf>
    <xf numFmtId="0" fontId="99" fillId="11" borderId="22" xfId="0" applyFont="1" applyFill="1" applyBorder="1" applyAlignment="1">
      <alignment horizontal="center" vertical="center" wrapText="1"/>
    </xf>
    <xf numFmtId="0" fontId="99" fillId="11" borderId="24" xfId="0" applyFont="1" applyFill="1" applyBorder="1" applyAlignment="1">
      <alignment horizontal="center" vertical="center" wrapText="1"/>
    </xf>
    <xf numFmtId="0" fontId="99" fillId="11" borderId="0" xfId="0" applyFont="1" applyFill="1" applyAlignment="1">
      <alignment horizontal="center" vertical="center" wrapText="1"/>
    </xf>
    <xf numFmtId="0" fontId="99" fillId="11" borderId="26" xfId="0" applyFont="1" applyFill="1" applyBorder="1" applyAlignment="1">
      <alignment horizontal="center" vertical="center" wrapText="1"/>
    </xf>
    <xf numFmtId="0" fontId="99" fillId="11" borderId="27" xfId="0" applyFont="1" applyFill="1" applyBorder="1" applyAlignment="1">
      <alignment horizontal="center" vertical="center" wrapText="1"/>
    </xf>
    <xf numFmtId="0" fontId="62" fillId="7" borderId="22" xfId="0" applyFont="1" applyFill="1" applyBorder="1" applyAlignment="1">
      <alignment horizontal="center" vertical="center" wrapText="1"/>
    </xf>
    <xf numFmtId="0" fontId="62" fillId="7" borderId="0" xfId="0" applyFont="1" applyFill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53" fillId="0" borderId="30" xfId="0" applyFont="1" applyBorder="1" applyAlignment="1">
      <alignment horizontal="center" vertical="center"/>
    </xf>
    <xf numFmtId="0" fontId="53" fillId="3" borderId="30" xfId="0" applyFont="1" applyFill="1" applyBorder="1" applyAlignment="1">
      <alignment horizontal="center" vertical="center"/>
    </xf>
    <xf numFmtId="0" fontId="61" fillId="0" borderId="21" xfId="0" applyFont="1" applyBorder="1" applyAlignment="1">
      <alignment horizontal="center" vertical="top"/>
    </xf>
    <xf numFmtId="0" fontId="61" fillId="0" borderId="22" xfId="0" applyFont="1" applyBorder="1" applyAlignment="1">
      <alignment horizontal="center" vertical="top"/>
    </xf>
    <xf numFmtId="0" fontId="61" fillId="0" borderId="23" xfId="0" applyFont="1" applyBorder="1" applyAlignment="1">
      <alignment horizontal="center" vertical="top"/>
    </xf>
    <xf numFmtId="0" fontId="61" fillId="0" borderId="26" xfId="0" applyFont="1" applyBorder="1" applyAlignment="1">
      <alignment horizontal="center" vertical="top"/>
    </xf>
    <xf numFmtId="0" fontId="61" fillId="0" borderId="27" xfId="0" applyFont="1" applyBorder="1" applyAlignment="1">
      <alignment horizontal="center" vertical="top"/>
    </xf>
    <xf numFmtId="0" fontId="61" fillId="0" borderId="28" xfId="0" applyFont="1" applyBorder="1" applyAlignment="1">
      <alignment horizontal="center" vertical="top"/>
    </xf>
    <xf numFmtId="0" fontId="51" fillId="26" borderId="35" xfId="0" applyFont="1" applyFill="1" applyBorder="1" applyAlignment="1">
      <alignment horizontal="center"/>
    </xf>
    <xf numFmtId="0" fontId="51" fillId="26" borderId="36" xfId="0" applyFont="1" applyFill="1" applyBorder="1" applyAlignment="1">
      <alignment horizontal="center"/>
    </xf>
    <xf numFmtId="0" fontId="51" fillId="26" borderId="32" xfId="0" applyFont="1" applyFill="1" applyBorder="1" applyAlignment="1">
      <alignment horizontal="center"/>
    </xf>
    <xf numFmtId="0" fontId="51" fillId="25" borderId="35" xfId="0" applyFont="1" applyFill="1" applyBorder="1" applyAlignment="1">
      <alignment horizontal="center"/>
    </xf>
    <xf numFmtId="0" fontId="51" fillId="25" borderId="36" xfId="0" applyFont="1" applyFill="1" applyBorder="1" applyAlignment="1">
      <alignment horizontal="center"/>
    </xf>
    <xf numFmtId="0" fontId="51" fillId="25" borderId="32" xfId="0" applyFont="1" applyFill="1" applyBorder="1" applyAlignment="1">
      <alignment horizontal="center"/>
    </xf>
    <xf numFmtId="0" fontId="51" fillId="27" borderId="35" xfId="0" applyFont="1" applyFill="1" applyBorder="1" applyAlignment="1">
      <alignment horizontal="center"/>
    </xf>
    <xf numFmtId="0" fontId="51" fillId="27" borderId="36" xfId="0" applyFont="1" applyFill="1" applyBorder="1" applyAlignment="1">
      <alignment horizontal="center"/>
    </xf>
    <xf numFmtId="0" fontId="51" fillId="27" borderId="32" xfId="0" applyFont="1" applyFill="1" applyBorder="1" applyAlignment="1">
      <alignment horizontal="center"/>
    </xf>
    <xf numFmtId="0" fontId="48" fillId="24" borderId="35" xfId="0" applyFont="1" applyFill="1" applyBorder="1" applyAlignment="1">
      <alignment horizontal="center"/>
    </xf>
    <xf numFmtId="0" fontId="48" fillId="24" borderId="36" xfId="0" applyFont="1" applyFill="1" applyBorder="1" applyAlignment="1">
      <alignment horizontal="center"/>
    </xf>
    <xf numFmtId="0" fontId="48" fillId="24" borderId="32" xfId="0" applyFont="1" applyFill="1" applyBorder="1" applyAlignment="1">
      <alignment horizontal="center"/>
    </xf>
    <xf numFmtId="0" fontId="48" fillId="3" borderId="35" xfId="0" applyFont="1" applyFill="1" applyBorder="1" applyAlignment="1">
      <alignment horizontal="center"/>
    </xf>
    <xf numFmtId="0" fontId="48" fillId="3" borderId="36" xfId="0" applyFont="1" applyFill="1" applyBorder="1" applyAlignment="1">
      <alignment horizontal="center"/>
    </xf>
    <xf numFmtId="0" fontId="48" fillId="3" borderId="32" xfId="0" applyFont="1" applyFill="1" applyBorder="1" applyAlignment="1">
      <alignment horizontal="center"/>
    </xf>
    <xf numFmtId="0" fontId="54" fillId="0" borderId="22" xfId="0" applyFont="1" applyBorder="1" applyAlignment="1">
      <alignment horizontal="center"/>
    </xf>
    <xf numFmtId="0" fontId="54" fillId="0" borderId="23" xfId="0" applyFont="1" applyBorder="1" applyAlignment="1">
      <alignment horizontal="center"/>
    </xf>
    <xf numFmtId="0" fontId="54" fillId="0" borderId="27" xfId="0" applyFont="1" applyBorder="1" applyAlignment="1">
      <alignment horizontal="center"/>
    </xf>
    <xf numFmtId="0" fontId="54" fillId="0" borderId="28" xfId="0" applyFont="1" applyBorder="1" applyAlignment="1">
      <alignment horizontal="center"/>
    </xf>
    <xf numFmtId="0" fontId="54" fillId="3" borderId="22" xfId="0" applyFont="1" applyFill="1" applyBorder="1" applyAlignment="1">
      <alignment horizontal="center"/>
    </xf>
    <xf numFmtId="0" fontId="54" fillId="3" borderId="23" xfId="0" applyFont="1" applyFill="1" applyBorder="1" applyAlignment="1">
      <alignment horizontal="center"/>
    </xf>
    <xf numFmtId="0" fontId="54" fillId="3" borderId="27" xfId="0" applyFont="1" applyFill="1" applyBorder="1" applyAlignment="1">
      <alignment horizontal="center"/>
    </xf>
    <xf numFmtId="0" fontId="54" fillId="3" borderId="28" xfId="0" applyFont="1" applyFill="1" applyBorder="1" applyAlignment="1">
      <alignment horizontal="center"/>
    </xf>
    <xf numFmtId="0" fontId="56" fillId="8" borderId="21" xfId="0" applyFont="1" applyFill="1" applyBorder="1" applyAlignment="1">
      <alignment horizontal="center" vertical="top"/>
    </xf>
    <xf numFmtId="0" fontId="56" fillId="8" borderId="22" xfId="0" applyFont="1" applyFill="1" applyBorder="1" applyAlignment="1">
      <alignment horizontal="center" vertical="top"/>
    </xf>
    <xf numFmtId="0" fontId="56" fillId="8" borderId="23" xfId="0" applyFont="1" applyFill="1" applyBorder="1" applyAlignment="1">
      <alignment horizontal="center" vertical="top"/>
    </xf>
    <xf numFmtId="0" fontId="56" fillId="8" borderId="24" xfId="0" applyFont="1" applyFill="1" applyBorder="1" applyAlignment="1">
      <alignment horizontal="center" vertical="top"/>
    </xf>
    <xf numFmtId="0" fontId="56" fillId="8" borderId="0" xfId="0" applyFont="1" applyFill="1" applyAlignment="1">
      <alignment horizontal="center" vertical="top"/>
    </xf>
    <xf numFmtId="0" fontId="56" fillId="8" borderId="25" xfId="0" applyFont="1" applyFill="1" applyBorder="1" applyAlignment="1">
      <alignment horizontal="center" vertical="top"/>
    </xf>
    <xf numFmtId="0" fontId="56" fillId="8" borderId="26" xfId="0" applyFont="1" applyFill="1" applyBorder="1" applyAlignment="1">
      <alignment horizontal="center" vertical="top"/>
    </xf>
    <xf numFmtId="0" fontId="56" fillId="8" borderId="27" xfId="0" applyFont="1" applyFill="1" applyBorder="1" applyAlignment="1">
      <alignment horizontal="center" vertical="top"/>
    </xf>
    <xf numFmtId="0" fontId="56" fillId="8" borderId="28" xfId="0" applyFont="1" applyFill="1" applyBorder="1" applyAlignment="1">
      <alignment horizontal="center" vertical="top"/>
    </xf>
    <xf numFmtId="0" fontId="57" fillId="0" borderId="21" xfId="0" applyFont="1" applyBorder="1" applyAlignment="1">
      <alignment horizontal="left" vertical="center"/>
    </xf>
    <xf numFmtId="0" fontId="57" fillId="0" borderId="22" xfId="0" applyFont="1" applyBorder="1" applyAlignment="1">
      <alignment horizontal="left" vertical="center"/>
    </xf>
    <xf numFmtId="0" fontId="57" fillId="0" borderId="26" xfId="0" applyFont="1" applyBorder="1" applyAlignment="1">
      <alignment horizontal="left" vertical="center"/>
    </xf>
    <xf numFmtId="0" fontId="57" fillId="0" borderId="27" xfId="0" applyFont="1" applyBorder="1" applyAlignment="1">
      <alignment horizontal="left" vertical="center"/>
    </xf>
    <xf numFmtId="0" fontId="57" fillId="3" borderId="21" xfId="0" applyFont="1" applyFill="1" applyBorder="1" applyAlignment="1">
      <alignment horizontal="left" vertical="center"/>
    </xf>
    <xf numFmtId="0" fontId="57" fillId="3" borderId="22" xfId="0" applyFont="1" applyFill="1" applyBorder="1" applyAlignment="1">
      <alignment horizontal="left" vertical="center"/>
    </xf>
    <xf numFmtId="0" fontId="57" fillId="3" borderId="26" xfId="0" applyFont="1" applyFill="1" applyBorder="1" applyAlignment="1">
      <alignment horizontal="left" vertical="center"/>
    </xf>
    <xf numFmtId="0" fontId="57" fillId="3" borderId="27" xfId="0" applyFont="1" applyFill="1" applyBorder="1" applyAlignment="1">
      <alignment horizontal="left" vertical="center"/>
    </xf>
    <xf numFmtId="0" fontId="51" fillId="3" borderId="36" xfId="0" applyFont="1" applyFill="1" applyBorder="1" applyAlignment="1">
      <alignment horizontal="center"/>
    </xf>
    <xf numFmtId="0" fontId="51" fillId="3" borderId="32" xfId="0" applyFont="1" applyFill="1" applyBorder="1" applyAlignment="1">
      <alignment horizontal="center"/>
    </xf>
    <xf numFmtId="0" fontId="51" fillId="0" borderId="36" xfId="0" applyFont="1" applyBorder="1" applyAlignment="1">
      <alignment horizontal="center"/>
    </xf>
    <xf numFmtId="0" fontId="51" fillId="0" borderId="32" xfId="0" applyFont="1" applyBorder="1" applyAlignment="1">
      <alignment horizontal="center"/>
    </xf>
    <xf numFmtId="0" fontId="51" fillId="0" borderId="35" xfId="0" applyFont="1" applyBorder="1" applyAlignment="1">
      <alignment horizontal="center"/>
    </xf>
    <xf numFmtId="0" fontId="51" fillId="3" borderId="35" xfId="0" applyFont="1" applyFill="1" applyBorder="1" applyAlignment="1">
      <alignment horizontal="center"/>
    </xf>
    <xf numFmtId="0" fontId="54" fillId="35" borderId="42" xfId="0" applyFont="1" applyFill="1" applyBorder="1" applyAlignment="1">
      <alignment horizontal="center"/>
    </xf>
    <xf numFmtId="0" fontId="54" fillId="35" borderId="43" xfId="0" applyFont="1" applyFill="1" applyBorder="1" applyAlignment="1">
      <alignment horizontal="center"/>
    </xf>
    <xf numFmtId="0" fontId="54" fillId="35" borderId="44" xfId="0" applyFont="1" applyFill="1" applyBorder="1" applyAlignment="1">
      <alignment horizontal="center"/>
    </xf>
    <xf numFmtId="0" fontId="54" fillId="35" borderId="41" xfId="0" applyFont="1" applyFill="1" applyBorder="1" applyAlignment="1">
      <alignment horizontal="center"/>
    </xf>
    <xf numFmtId="0" fontId="54" fillId="35" borderId="0" xfId="0" applyFont="1" applyFill="1" applyAlignment="1">
      <alignment horizontal="center"/>
    </xf>
    <xf numFmtId="0" fontId="54" fillId="35" borderId="74" xfId="0" applyFont="1" applyFill="1" applyBorder="1" applyAlignment="1">
      <alignment horizontal="center"/>
    </xf>
    <xf numFmtId="0" fontId="54" fillId="35" borderId="45" xfId="0" applyFont="1" applyFill="1" applyBorder="1" applyAlignment="1">
      <alignment horizontal="center"/>
    </xf>
    <xf numFmtId="0" fontId="54" fillId="35" borderId="12" xfId="0" applyFont="1" applyFill="1" applyBorder="1" applyAlignment="1">
      <alignment horizontal="center"/>
    </xf>
    <xf numFmtId="0" fontId="54" fillId="35" borderId="46" xfId="0" applyFont="1" applyFill="1" applyBorder="1" applyAlignment="1">
      <alignment horizontal="center"/>
    </xf>
    <xf numFmtId="0" fontId="100" fillId="0" borderId="42" xfId="0" applyFont="1" applyBorder="1" applyAlignment="1">
      <alignment horizontal="center" vertical="center"/>
    </xf>
    <xf numFmtId="0" fontId="100" fillId="0" borderId="43" xfId="0" applyFont="1" applyBorder="1" applyAlignment="1">
      <alignment horizontal="center" vertical="center"/>
    </xf>
    <xf numFmtId="0" fontId="100" fillId="0" borderId="44" xfId="0" applyFont="1" applyBorder="1" applyAlignment="1">
      <alignment horizontal="center" vertical="center"/>
    </xf>
    <xf numFmtId="0" fontId="100" fillId="0" borderId="41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74" xfId="0" applyFont="1" applyBorder="1" applyAlignment="1">
      <alignment horizontal="center" vertical="center"/>
    </xf>
    <xf numFmtId="0" fontId="100" fillId="0" borderId="45" xfId="0" applyFont="1" applyBorder="1" applyAlignment="1">
      <alignment horizontal="center" vertical="center"/>
    </xf>
    <xf numFmtId="0" fontId="100" fillId="0" borderId="12" xfId="0" applyFont="1" applyBorder="1" applyAlignment="1">
      <alignment horizontal="center" vertical="center"/>
    </xf>
    <xf numFmtId="0" fontId="100" fillId="0" borderId="46" xfId="0" applyFont="1" applyBorder="1" applyAlignment="1">
      <alignment horizontal="center" vertical="center"/>
    </xf>
    <xf numFmtId="0" fontId="106" fillId="35" borderId="0" xfId="0" applyFont="1" applyFill="1" applyAlignment="1">
      <alignment horizontal="center" vertical="center"/>
    </xf>
    <xf numFmtId="0" fontId="79" fillId="0" borderId="0" xfId="0" applyFont="1" applyAlignment="1">
      <alignment horizontal="center"/>
    </xf>
    <xf numFmtId="0" fontId="107" fillId="36" borderId="0" xfId="0" applyFont="1" applyFill="1" applyAlignment="1">
      <alignment horizontal="center"/>
    </xf>
    <xf numFmtId="0" fontId="107" fillId="27" borderId="0" xfId="0" applyFont="1" applyFill="1" applyAlignment="1">
      <alignment horizontal="center"/>
    </xf>
    <xf numFmtId="0" fontId="54" fillId="0" borderId="42" xfId="0" applyFont="1" applyBorder="1" applyAlignment="1">
      <alignment horizontal="center"/>
    </xf>
    <xf numFmtId="0" fontId="54" fillId="0" borderId="43" xfId="0" applyFont="1" applyBorder="1" applyAlignment="1">
      <alignment horizontal="center"/>
    </xf>
    <xf numFmtId="0" fontId="54" fillId="0" borderId="44" xfId="0" applyFont="1" applyBorder="1" applyAlignment="1">
      <alignment horizontal="center"/>
    </xf>
    <xf numFmtId="0" fontId="54" fillId="0" borderId="41" xfId="0" applyFont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0" borderId="74" xfId="0" applyFont="1" applyBorder="1" applyAlignment="1">
      <alignment horizontal="center"/>
    </xf>
    <xf numFmtId="0" fontId="54" fillId="0" borderId="45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54" fillId="0" borderId="46" xfId="0" applyFont="1" applyBorder="1" applyAlignment="1">
      <alignment horizontal="center"/>
    </xf>
    <xf numFmtId="0" fontId="101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7" fillId="6" borderId="0" xfId="0" applyFont="1" applyFill="1" applyAlignment="1">
      <alignment horizontal="center"/>
    </xf>
    <xf numFmtId="0" fontId="98" fillId="4" borderId="21" xfId="0" applyFont="1" applyFill="1" applyBorder="1" applyAlignment="1">
      <alignment horizontal="center" vertical="center"/>
    </xf>
    <xf numFmtId="0" fontId="98" fillId="4" borderId="22" xfId="0" applyFont="1" applyFill="1" applyBorder="1" applyAlignment="1">
      <alignment horizontal="center" vertical="center"/>
    </xf>
    <xf numFmtId="0" fontId="98" fillId="4" borderId="23" xfId="0" applyFont="1" applyFill="1" applyBorder="1" applyAlignment="1">
      <alignment horizontal="center" vertical="center"/>
    </xf>
    <xf numFmtId="0" fontId="98" fillId="4" borderId="26" xfId="0" applyFont="1" applyFill="1" applyBorder="1" applyAlignment="1">
      <alignment horizontal="center" vertical="center"/>
    </xf>
    <xf numFmtId="0" fontId="98" fillId="4" borderId="27" xfId="0" applyFont="1" applyFill="1" applyBorder="1" applyAlignment="1">
      <alignment horizontal="center" vertical="center"/>
    </xf>
    <xf numFmtId="0" fontId="98" fillId="4" borderId="28" xfId="0" applyFont="1" applyFill="1" applyBorder="1" applyAlignment="1">
      <alignment horizontal="center" vertical="center"/>
    </xf>
    <xf numFmtId="0" fontId="0" fillId="38" borderId="0" xfId="0" applyFill="1"/>
    <xf numFmtId="0" fontId="0" fillId="0" borderId="0" xfId="0" applyFill="1"/>
    <xf numFmtId="3" fontId="67" fillId="3" borderId="1" xfId="0" applyNumberFormat="1" applyFont="1" applyFill="1" applyBorder="1"/>
    <xf numFmtId="0" fontId="28" fillId="39" borderId="1" xfId="0" applyFont="1" applyFill="1" applyBorder="1"/>
    <xf numFmtId="0" fontId="65" fillId="39" borderId="1" xfId="0" applyFont="1" applyFill="1" applyBorder="1" applyAlignment="1">
      <alignment horizontal="center"/>
    </xf>
    <xf numFmtId="0" fontId="87" fillId="39" borderId="1" xfId="0" applyFont="1" applyFill="1" applyBorder="1" applyAlignment="1">
      <alignment horizontal="center" vertical="center"/>
    </xf>
    <xf numFmtId="3" fontId="6" fillId="39" borderId="1" xfId="0" applyNumberFormat="1" applyFont="1" applyFill="1" applyBorder="1"/>
    <xf numFmtId="166" fontId="68" fillId="39" borderId="1" xfId="0" applyNumberFormat="1" applyFont="1" applyFill="1" applyBorder="1"/>
    <xf numFmtId="3" fontId="79" fillId="39" borderId="1" xfId="0" applyNumberFormat="1" applyFont="1" applyFill="1" applyBorder="1" applyAlignment="1">
      <alignment horizontal="center" vertical="center"/>
    </xf>
    <xf numFmtId="3" fontId="66" fillId="39" borderId="1" xfId="0" applyNumberFormat="1" applyFont="1" applyFill="1" applyBorder="1"/>
    <xf numFmtId="3" fontId="67" fillId="39" borderId="1" xfId="0" applyNumberFormat="1" applyFont="1" applyFill="1" applyBorder="1"/>
    <xf numFmtId="166" fontId="6" fillId="39" borderId="1" xfId="0" applyNumberFormat="1" applyFont="1" applyFill="1" applyBorder="1"/>
  </cellXfs>
  <cellStyles count="2">
    <cellStyle name="Moneda 2" xfId="1" xr:uid="{375D92EA-D2B4-42D9-BD18-8F073FAF1B41}"/>
    <cellStyle name="Normal" xfId="0" builtinId="0"/>
  </cellStyles>
  <dxfs count="48"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DLaM Display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DLaM Display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DLaM Display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DLaM Display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DLaM Display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DLaM Display"/>
        <scheme val="none"/>
      </font>
      <fill>
        <patternFill patternType="solid">
          <fgColor indexed="64"/>
          <bgColor rgb="FF1D05A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ADLaM Display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DLaM Display"/>
        <scheme val="none"/>
      </font>
      <fill>
        <patternFill patternType="solid">
          <fgColor indexed="64"/>
          <bgColor rgb="FF1D05A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00"/>
      <color rgb="FFFF0000"/>
      <color rgb="FFA60A0A"/>
      <color rgb="FFFFFF66"/>
      <color rgb="FFFFFF99"/>
      <color rgb="FFFF00FF"/>
      <color rgb="FF00FF00"/>
      <color rgb="FF66FFFF"/>
      <color rgb="FF1D05AF"/>
      <color rgb="FF270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526474</xdr:colOff>
      <xdr:row>0</xdr:row>
      <xdr:rowOff>129946</xdr:rowOff>
    </xdr:from>
    <xdr:to>
      <xdr:col>23</xdr:col>
      <xdr:colOff>198757</xdr:colOff>
      <xdr:row>6</xdr:row>
      <xdr:rowOff>253629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C2FB0-57DD-60AF-8D86-D19EB5BAB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32" b="23358"/>
        <a:stretch>
          <a:fillRect/>
        </a:stretch>
      </xdr:blipFill>
      <xdr:spPr bwMode="auto">
        <a:xfrm>
          <a:off x="4017819" y="129946"/>
          <a:ext cx="3468429" cy="19247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152400</xdr:rowOff>
    </xdr:from>
    <xdr:to>
      <xdr:col>13</xdr:col>
      <xdr:colOff>604981</xdr:colOff>
      <xdr:row>5</xdr:row>
      <xdr:rowOff>240916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37F248-BDD2-5682-5F44-BBFF2B2E3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4138660" cy="1579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97328</xdr:colOff>
      <xdr:row>2</xdr:row>
      <xdr:rowOff>124461</xdr:rowOff>
    </xdr:from>
    <xdr:to>
      <xdr:col>24</xdr:col>
      <xdr:colOff>10885</xdr:colOff>
      <xdr:row>11</xdr:row>
      <xdr:rowOff>171182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07F3E3-D86F-4B8B-BDCB-A286126DE9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21033" r="4702" b="27020"/>
        <a:stretch>
          <a:fillRect/>
        </a:stretch>
      </xdr:blipFill>
      <xdr:spPr bwMode="auto">
        <a:xfrm>
          <a:off x="11146328" y="494575"/>
          <a:ext cx="3734443" cy="22129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77E96-071B-4B7A-8C91-C644931CFFEA}" name="Tabla1" displayName="Tabla1" ref="B23:D38" totalsRowShown="0" headerRowDxfId="47" dataDxfId="45" headerRowBorderDxfId="46" tableBorderDxfId="44" totalsRowBorderDxfId="43">
  <tableColumns count="3">
    <tableColumn id="1" xr3:uid="{D9FFB31C-AC93-4D25-AD6F-2D1EF8B1C4A1}" name="ENT" dataDxfId="42"/>
    <tableColumn id="2" xr3:uid="{D286224C-7D5B-4DAF-8F1B-B5130D8EDCD0}" name="CAR" dataDxfId="41"/>
    <tableColumn id="3" xr3:uid="{DC1A2963-07FA-4B70-A5F8-81C8EAA30AD4}" name="TOTAL" dataDxfId="4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F2B90-A2B1-402F-BF89-C0D4C87ABD86}" name="Tabla2" displayName="Tabla2" ref="F23:H38" totalsRowShown="0" headerRowDxfId="39" dataDxfId="37" headerRowBorderDxfId="38" tableBorderDxfId="36" totalsRowBorderDxfId="35">
  <tableColumns count="3">
    <tableColumn id="1" xr3:uid="{A7F3DE8B-6B4B-492E-810F-3922FF9B09AF}" name="ENT" dataDxfId="34"/>
    <tableColumn id="2" xr3:uid="{64C8FF7A-A83A-49D0-B56E-F1FCFC3520F4}" name="CAR" dataDxfId="33"/>
    <tableColumn id="3" xr3:uid="{01244960-02A9-4798-988B-5FE260C6098B}" name="TOTAL" dataDxfId="3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995AD2-F386-4750-B66D-A4011DBD4108}" name="Tabla24" displayName="Tabla24" ref="J23:L38" totalsRowShown="0" headerRowDxfId="31" dataDxfId="29" headerRowBorderDxfId="30" tableBorderDxfId="28" totalsRowBorderDxfId="27">
  <tableColumns count="3">
    <tableColumn id="1" xr3:uid="{60B29FC8-DE6E-4135-8FC7-C43318FFB404}" name="ENT" dataDxfId="26"/>
    <tableColumn id="2" xr3:uid="{90828361-BA52-45C2-8CB7-BB2469520469}" name="CAR" dataDxfId="25"/>
    <tableColumn id="3" xr3:uid="{3B496ADC-FF6F-45E4-A00B-ADB9191B3039}" name="TOTAL" dataDxfId="2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12D0D8-24D2-4752-B34A-D8587FD2CB18}" name="Tabla25" displayName="Tabla25" ref="N23:P38" totalsRowShown="0" headerRowDxfId="23" dataDxfId="21" headerRowBorderDxfId="22" tableBorderDxfId="20" totalsRowBorderDxfId="19">
  <tableColumns count="3">
    <tableColumn id="1" xr3:uid="{33E451B0-3F82-4EBE-B58B-613711CDA7A7}" name="ENT" dataDxfId="18"/>
    <tableColumn id="2" xr3:uid="{F7AC123F-C1E2-4E23-B57E-F61E292D4B7E}" name="CAR" dataDxfId="17"/>
    <tableColumn id="3" xr3:uid="{33385D1F-0CAC-4446-900E-CD930ED0022E}" name="TOTAL" dataDxfId="1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9AD656-BC17-480C-B12E-102628C591DE}" name="Tabla246" displayName="Tabla246" ref="R23:T38" totalsRowShown="0" headerRowDxfId="15" dataDxfId="13" headerRowBorderDxfId="14" tableBorderDxfId="12" totalsRowBorderDxfId="11">
  <tableColumns count="3">
    <tableColumn id="1" xr3:uid="{F006E8CB-2DEE-4D5C-8C6D-85FECEA1BA9C}" name="ENT" dataDxfId="10"/>
    <tableColumn id="2" xr3:uid="{1E96DD62-1A8E-4162-AE82-AD571764DBAF}" name="CAR" dataDxfId="9"/>
    <tableColumn id="3" xr3:uid="{92155521-B544-4CF6-BBF9-049C580CE311}" name="TOTAL" dataDxfId="8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B6B07F-AFC2-46DF-813F-DF28152A1367}" name="Tabla257" displayName="Tabla257" ref="V23:X38" totalsRowShown="0" headerRowDxfId="7" dataDxfId="5" headerRowBorderDxfId="6" tableBorderDxfId="4" totalsRowBorderDxfId="3">
  <tableColumns count="3">
    <tableColumn id="1" xr3:uid="{3D3DA645-3718-4EA2-AFAA-8489F3759D4A}" name="ENT" dataDxfId="2"/>
    <tableColumn id="2" xr3:uid="{8D1BD524-BEE6-4629-AD74-FF3F725DC1FC}" name="CAR" dataDxfId="1"/>
    <tableColumn id="3" xr3:uid="{1F069D76-9C63-47B7-B1AB-3EDE1C7C24A2}" name="TOTAL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500F-0FDE-4248-86AF-F5D947B33A2D}">
  <sheetPr>
    <pageSetUpPr fitToPage="1"/>
  </sheetPr>
  <dimension ref="A1:AD40"/>
  <sheetViews>
    <sheetView topLeftCell="A3" zoomScale="70" zoomScaleNormal="70" zoomScaleSheetLayoutView="100" workbookViewId="0">
      <selection activeCell="E20" sqref="E20"/>
    </sheetView>
  </sheetViews>
  <sheetFormatPr baseColWidth="10" defaultColWidth="8.88671875" defaultRowHeight="14.4" x14ac:dyDescent="0.3"/>
  <cols>
    <col min="2" max="2" width="3.6640625" bestFit="1" customWidth="1"/>
    <col min="3" max="3" width="30" bestFit="1" customWidth="1"/>
    <col min="4" max="4" width="22" style="12" bestFit="1" customWidth="1"/>
    <col min="5" max="5" width="8.44140625" style="3" bestFit="1" customWidth="1"/>
    <col min="6" max="6" width="10.44140625" style="3" customWidth="1"/>
    <col min="7" max="7" width="10.44140625" style="3" bestFit="1" customWidth="1"/>
    <col min="8" max="8" width="5.5546875" customWidth="1"/>
    <col min="9" max="9" width="6.6640625" bestFit="1" customWidth="1"/>
    <col min="10" max="10" width="13.77734375" style="187" customWidth="1"/>
    <col min="11" max="11" width="1.88671875" customWidth="1"/>
    <col min="12" max="12" width="10.88671875" customWidth="1"/>
    <col min="13" max="13" width="7.109375" hidden="1" customWidth="1"/>
    <col min="14" max="14" width="10.88671875" customWidth="1"/>
    <col min="15" max="15" width="7.33203125" hidden="1" customWidth="1"/>
    <col min="16" max="16" width="10.88671875" customWidth="1"/>
    <col min="17" max="17" width="1.77734375" customWidth="1"/>
    <col min="18" max="18" width="10.5546875" customWidth="1"/>
    <col min="19" max="19" width="9.88671875" customWidth="1"/>
    <col min="20" max="20" width="3" bestFit="1" customWidth="1"/>
    <col min="21" max="21" width="17.6640625" bestFit="1" customWidth="1"/>
    <col min="22" max="22" width="4.6640625" style="189" bestFit="1" customWidth="1"/>
    <col min="23" max="23" width="18.88671875" bestFit="1" customWidth="1"/>
    <col min="24" max="24" width="4.6640625" style="187" bestFit="1" customWidth="1"/>
    <col min="25" max="25" width="17.88671875" bestFit="1" customWidth="1"/>
    <col min="26" max="26" width="4.6640625" bestFit="1" customWidth="1"/>
    <col min="27" max="27" width="23.6640625" customWidth="1"/>
    <col min="28" max="28" width="4.6640625" bestFit="1" customWidth="1"/>
    <col min="29" max="29" width="27.6640625" customWidth="1"/>
  </cols>
  <sheetData>
    <row r="1" spans="1:30" ht="15" thickBot="1" x14ac:dyDescent="0.35"/>
    <row r="2" spans="1:30" ht="14.4" customHeight="1" x14ac:dyDescent="0.3">
      <c r="A2" s="366" t="s">
        <v>112</v>
      </c>
      <c r="B2" s="367"/>
      <c r="C2" s="368"/>
      <c r="D2" s="351">
        <v>2</v>
      </c>
      <c r="E2" s="354" t="s">
        <v>68</v>
      </c>
      <c r="F2" s="354"/>
      <c r="G2" s="354"/>
      <c r="H2" s="354"/>
      <c r="I2" s="354"/>
      <c r="J2" s="355"/>
      <c r="V2"/>
      <c r="X2"/>
    </row>
    <row r="3" spans="1:30" ht="14.4" customHeight="1" x14ac:dyDescent="0.3">
      <c r="A3" s="369"/>
      <c r="B3" s="370"/>
      <c r="C3" s="371"/>
      <c r="D3" s="352"/>
      <c r="E3" s="356"/>
      <c r="F3" s="356"/>
      <c r="G3" s="356"/>
      <c r="H3" s="356"/>
      <c r="I3" s="356"/>
      <c r="J3" s="357"/>
      <c r="V3"/>
      <c r="X3"/>
    </row>
    <row r="4" spans="1:30" ht="14.4" customHeight="1" thickBot="1" x14ac:dyDescent="0.35">
      <c r="A4" s="372"/>
      <c r="B4" s="373"/>
      <c r="C4" s="374"/>
      <c r="D4" s="353"/>
      <c r="E4" s="358"/>
      <c r="F4" s="358"/>
      <c r="G4" s="358"/>
      <c r="H4" s="358"/>
      <c r="I4" s="358"/>
      <c r="J4" s="359"/>
      <c r="L4" s="375" t="s">
        <v>110</v>
      </c>
      <c r="M4" s="376"/>
      <c r="N4" s="376"/>
      <c r="O4" s="376"/>
      <c r="P4" s="377"/>
      <c r="V4"/>
      <c r="X4"/>
    </row>
    <row r="5" spans="1:30" ht="15" customHeight="1" x14ac:dyDescent="0.4">
      <c r="A5" s="360" t="s">
        <v>111</v>
      </c>
      <c r="B5" s="361"/>
      <c r="C5" s="361"/>
      <c r="D5" s="361"/>
      <c r="E5" s="361"/>
      <c r="F5" s="361"/>
      <c r="G5" s="361"/>
      <c r="H5" s="361"/>
      <c r="I5" s="361"/>
      <c r="J5" s="362"/>
      <c r="L5" s="218">
        <v>0</v>
      </c>
      <c r="M5" s="224"/>
      <c r="N5" s="219">
        <v>0.3</v>
      </c>
      <c r="O5" s="220"/>
      <c r="P5" s="221">
        <v>0.5</v>
      </c>
      <c r="V5"/>
      <c r="X5"/>
    </row>
    <row r="6" spans="1:30" ht="14.4" customHeight="1" thickBot="1" x14ac:dyDescent="0.35">
      <c r="A6" s="363"/>
      <c r="B6" s="364"/>
      <c r="C6" s="364"/>
      <c r="D6" s="364"/>
      <c r="E6" s="364"/>
      <c r="F6" s="364"/>
      <c r="G6" s="364"/>
      <c r="H6" s="364"/>
      <c r="I6" s="364"/>
      <c r="J6" s="365"/>
      <c r="L6" s="225">
        <v>44368</v>
      </c>
      <c r="M6" s="217"/>
      <c r="N6" s="226">
        <v>41091</v>
      </c>
      <c r="O6" s="227"/>
      <c r="P6" s="228">
        <v>46204</v>
      </c>
      <c r="Q6" s="12"/>
      <c r="R6" s="12"/>
      <c r="S6" s="12"/>
      <c r="V6"/>
      <c r="X6"/>
    </row>
    <row r="7" spans="1:30" s="297" customFormat="1" ht="4.2" customHeight="1" thickBot="1" x14ac:dyDescent="0.35"/>
    <row r="8" spans="1:30" s="1" customFormat="1" ht="14.4" customHeight="1" x14ac:dyDescent="0.3">
      <c r="C8" s="21" t="s">
        <v>0</v>
      </c>
      <c r="D8" s="21" t="s">
        <v>1</v>
      </c>
      <c r="E8" s="22" t="s">
        <v>2</v>
      </c>
      <c r="F8" s="22" t="s">
        <v>3</v>
      </c>
      <c r="G8" s="165" t="s">
        <v>4</v>
      </c>
      <c r="H8" s="21" t="s">
        <v>5</v>
      </c>
      <c r="I8" s="21" t="s">
        <v>6</v>
      </c>
      <c r="J8" s="21" t="s">
        <v>7</v>
      </c>
      <c r="K8" s="210"/>
      <c r="L8" s="321" t="s">
        <v>107</v>
      </c>
      <c r="M8" s="322"/>
      <c r="N8" s="322"/>
      <c r="O8" s="322"/>
      <c r="P8" s="323"/>
      <c r="R8" s="21" t="s">
        <v>108</v>
      </c>
      <c r="V8" s="188"/>
      <c r="X8" s="201"/>
    </row>
    <row r="9" spans="1:30" ht="21.6" thickBot="1" x14ac:dyDescent="0.45">
      <c r="A9" s="296" t="s">
        <v>109</v>
      </c>
      <c r="B9" s="104">
        <v>1</v>
      </c>
      <c r="C9" s="246" t="s">
        <v>8</v>
      </c>
      <c r="D9" s="239" t="s">
        <v>9</v>
      </c>
      <c r="E9" s="240">
        <v>12</v>
      </c>
      <c r="F9" s="241">
        <v>12</v>
      </c>
      <c r="G9" s="242">
        <v>-1</v>
      </c>
      <c r="H9" s="243">
        <f>20+20+25+20+18+20</f>
        <v>123</v>
      </c>
      <c r="I9" s="243">
        <f>6+7+11+11+34+19+22+18</f>
        <v>128</v>
      </c>
      <c r="J9" s="244">
        <f t="shared" ref="J9" si="0">H9/I9</f>
        <v>0.9609375</v>
      </c>
      <c r="K9" s="210"/>
      <c r="L9" s="245">
        <v>90</v>
      </c>
      <c r="M9" s="214">
        <f>L9*30%</f>
        <v>27</v>
      </c>
      <c r="N9" s="294">
        <f>M9+L9</f>
        <v>117</v>
      </c>
      <c r="O9" s="214">
        <f>L9*50%</f>
        <v>45</v>
      </c>
      <c r="P9" s="292">
        <f>O9+L9</f>
        <v>135</v>
      </c>
      <c r="R9" s="222">
        <f>L9</f>
        <v>90</v>
      </c>
    </row>
    <row r="10" spans="1:30" ht="23.4" x14ac:dyDescent="0.4">
      <c r="A10" s="296" t="s">
        <v>109</v>
      </c>
      <c r="B10" s="104">
        <f>B9+1</f>
        <v>2</v>
      </c>
      <c r="C10" s="158" t="s">
        <v>12</v>
      </c>
      <c r="D10" s="159" t="s">
        <v>9</v>
      </c>
      <c r="E10" s="232">
        <v>10</v>
      </c>
      <c r="F10" s="229">
        <v>10</v>
      </c>
      <c r="G10" s="230">
        <v>-2</v>
      </c>
      <c r="H10" s="234">
        <f>6+10+9+8+17+17+24+10</f>
        <v>101</v>
      </c>
      <c r="I10" s="234">
        <f>26+13+10+20+23+24+17</f>
        <v>133</v>
      </c>
      <c r="J10" s="235">
        <f t="shared" ref="J10:J35" si="1">H10/I10</f>
        <v>0.75939849624060152</v>
      </c>
      <c r="K10" s="210"/>
      <c r="L10" s="214">
        <v>48</v>
      </c>
      <c r="M10" s="214">
        <f t="shared" ref="M10:M35" si="2">L10*30%</f>
        <v>14.399999999999999</v>
      </c>
      <c r="N10" s="294">
        <f t="shared" ref="N10:N33" si="3">M10+L10</f>
        <v>62.4</v>
      </c>
      <c r="O10" s="214">
        <f t="shared" ref="O10:O33" si="4">L10*50%</f>
        <v>24</v>
      </c>
      <c r="P10" s="292">
        <f t="shared" ref="P10:P33" si="5">O10+L10</f>
        <v>72</v>
      </c>
      <c r="R10" s="222">
        <f t="shared" ref="R10:R35" si="6">L10</f>
        <v>48</v>
      </c>
      <c r="U10" s="192">
        <v>16</v>
      </c>
      <c r="V10" s="190"/>
      <c r="W10" s="194">
        <v>8</v>
      </c>
      <c r="Y10" s="196">
        <v>4</v>
      </c>
      <c r="Z10" s="187"/>
      <c r="AA10" s="198">
        <v>2</v>
      </c>
    </row>
    <row r="11" spans="1:30" ht="24" thickBot="1" x14ac:dyDescent="0.6">
      <c r="A11" s="296" t="s">
        <v>109</v>
      </c>
      <c r="B11" s="104">
        <f t="shared" ref="B11:B26" si="7">B10+1</f>
        <v>3</v>
      </c>
      <c r="C11" s="247" t="s">
        <v>10</v>
      </c>
      <c r="D11" s="248" t="s">
        <v>11</v>
      </c>
      <c r="E11" s="249">
        <v>10</v>
      </c>
      <c r="F11" s="250">
        <v>10</v>
      </c>
      <c r="G11" s="251">
        <v>-4</v>
      </c>
      <c r="H11" s="252">
        <f>16+19+26+19+6+26</f>
        <v>112</v>
      </c>
      <c r="I11" s="252">
        <f>39+9+38+22+23+38</f>
        <v>169</v>
      </c>
      <c r="J11" s="253">
        <f t="shared" si="1"/>
        <v>0.66272189349112431</v>
      </c>
      <c r="K11" s="210"/>
      <c r="L11" s="255">
        <v>30</v>
      </c>
      <c r="M11" s="214">
        <f>L11*30%</f>
        <v>9</v>
      </c>
      <c r="N11" s="294">
        <f>M11+L11</f>
        <v>39</v>
      </c>
      <c r="O11" s="214">
        <f>L11*50%</f>
        <v>15</v>
      </c>
      <c r="P11" s="292">
        <f>O11+L11</f>
        <v>45</v>
      </c>
      <c r="R11" s="222">
        <f t="shared" si="6"/>
        <v>30</v>
      </c>
      <c r="U11" s="193" t="s">
        <v>30</v>
      </c>
      <c r="V11" s="191" t="s">
        <v>31</v>
      </c>
      <c r="W11" s="195" t="s">
        <v>30</v>
      </c>
      <c r="X11" s="22" t="s">
        <v>31</v>
      </c>
      <c r="Y11" s="197" t="s">
        <v>30</v>
      </c>
      <c r="Z11" s="22" t="s">
        <v>31</v>
      </c>
      <c r="AA11" s="199" t="s">
        <v>30</v>
      </c>
      <c r="AB11" s="22" t="s">
        <v>31</v>
      </c>
    </row>
    <row r="12" spans="1:30" ht="21.6" thickBot="1" x14ac:dyDescent="0.45">
      <c r="B12" s="104">
        <f t="shared" si="7"/>
        <v>4</v>
      </c>
      <c r="C12" s="247" t="s">
        <v>21</v>
      </c>
      <c r="D12" s="248" t="s">
        <v>11</v>
      </c>
      <c r="E12" s="249">
        <v>6</v>
      </c>
      <c r="F12" s="254">
        <f>3+4</f>
        <v>7</v>
      </c>
      <c r="G12" s="251">
        <v>-8</v>
      </c>
      <c r="H12" s="252">
        <f>4+27+25+21+8+8</f>
        <v>93</v>
      </c>
      <c r="I12" s="252">
        <f>38+12+22+39+21+26</f>
        <v>158</v>
      </c>
      <c r="J12" s="253">
        <f t="shared" si="1"/>
        <v>0.58860759493670889</v>
      </c>
      <c r="K12" s="210"/>
      <c r="L12" s="255">
        <v>24</v>
      </c>
      <c r="M12" s="213">
        <f t="shared" si="2"/>
        <v>7.1999999999999993</v>
      </c>
      <c r="N12" s="295">
        <f t="shared" si="3"/>
        <v>31.2</v>
      </c>
      <c r="O12" s="213">
        <f t="shared" si="4"/>
        <v>12</v>
      </c>
      <c r="P12" s="293">
        <f t="shared" si="5"/>
        <v>36</v>
      </c>
      <c r="R12" s="222">
        <f t="shared" si="6"/>
        <v>24</v>
      </c>
      <c r="T12" s="182">
        <v>1</v>
      </c>
      <c r="U12" s="182" t="str">
        <f>C9</f>
        <v>JORGE CUMBAL</v>
      </c>
      <c r="V12" s="206">
        <v>2</v>
      </c>
      <c r="W12" s="333" t="str">
        <f>IF(V12&gt;V13,U12,U13)</f>
        <v>JORGE CUMBAL</v>
      </c>
      <c r="X12" s="327">
        <v>2</v>
      </c>
      <c r="Y12" s="334" t="str">
        <f>IF(X12&gt;X15,W12,W15)</f>
        <v>JORGE CUMBAL</v>
      </c>
      <c r="Z12" s="331">
        <v>2</v>
      </c>
      <c r="AA12" s="345" t="str">
        <f>IF(Z12&gt;Z18,Y12,Y18)</f>
        <v>JORGE CUMBAL</v>
      </c>
      <c r="AB12" s="344">
        <v>2</v>
      </c>
    </row>
    <row r="13" spans="1:30" ht="21" x14ac:dyDescent="0.4">
      <c r="B13" s="237">
        <f t="shared" si="7"/>
        <v>5</v>
      </c>
      <c r="C13" s="256" t="s">
        <v>13</v>
      </c>
      <c r="D13" s="257" t="s">
        <v>9</v>
      </c>
      <c r="E13" s="258">
        <f>4+2</f>
        <v>6</v>
      </c>
      <c r="F13" s="259">
        <f>4+2+1</f>
        <v>7</v>
      </c>
      <c r="G13" s="260">
        <v>-2</v>
      </c>
      <c r="H13" s="261">
        <f>13+13+15+18</f>
        <v>59</v>
      </c>
      <c r="I13" s="261">
        <f>26+26+39+26</f>
        <v>117</v>
      </c>
      <c r="J13" s="262">
        <f t="shared" si="1"/>
        <v>0.50427350427350426</v>
      </c>
      <c r="K13" s="210"/>
      <c r="L13" s="265">
        <v>12</v>
      </c>
      <c r="M13" s="213">
        <f t="shared" si="2"/>
        <v>3.5999999999999996</v>
      </c>
      <c r="N13" s="295">
        <f t="shared" si="3"/>
        <v>15.6</v>
      </c>
      <c r="O13" s="213">
        <f t="shared" si="4"/>
        <v>6</v>
      </c>
      <c r="P13" s="293">
        <f t="shared" si="5"/>
        <v>18</v>
      </c>
      <c r="R13" s="222">
        <f t="shared" si="6"/>
        <v>12</v>
      </c>
      <c r="T13" s="183">
        <v>16</v>
      </c>
      <c r="U13" s="186" t="str">
        <f>C21</f>
        <v>ANDRES BEDOYA</v>
      </c>
      <c r="V13" s="206">
        <v>0</v>
      </c>
      <c r="W13" s="333"/>
      <c r="X13" s="327"/>
      <c r="Y13" s="335"/>
      <c r="Z13" s="331"/>
      <c r="AA13" s="346"/>
      <c r="AB13" s="344"/>
      <c r="AC13" s="324"/>
      <c r="AD13" s="338" t="s">
        <v>32</v>
      </c>
    </row>
    <row r="14" spans="1:30" ht="21" x14ac:dyDescent="0.4">
      <c r="B14" s="237">
        <f t="shared" si="7"/>
        <v>6</v>
      </c>
      <c r="C14" s="256" t="s">
        <v>15</v>
      </c>
      <c r="D14" s="257" t="s">
        <v>16</v>
      </c>
      <c r="E14" s="258">
        <f>4+2</f>
        <v>6</v>
      </c>
      <c r="F14" s="259">
        <f>4+3</f>
        <v>7</v>
      </c>
      <c r="G14" s="260">
        <v>-3</v>
      </c>
      <c r="H14" s="261">
        <f>10+5+10+8+10+11+22</f>
        <v>76</v>
      </c>
      <c r="I14" s="261">
        <f>3+13+9+10+9+22+26</f>
        <v>92</v>
      </c>
      <c r="J14" s="262">
        <f t="shared" si="1"/>
        <v>0.82608695652173914</v>
      </c>
      <c r="K14" s="210"/>
      <c r="L14" s="265">
        <v>12</v>
      </c>
      <c r="M14" s="213">
        <f t="shared" si="2"/>
        <v>3.5999999999999996</v>
      </c>
      <c r="N14" s="295">
        <f t="shared" si="3"/>
        <v>15.6</v>
      </c>
      <c r="O14" s="213">
        <f t="shared" si="4"/>
        <v>6</v>
      </c>
      <c r="P14" s="293">
        <f t="shared" si="5"/>
        <v>18</v>
      </c>
      <c r="R14" s="222">
        <f t="shared" si="6"/>
        <v>12</v>
      </c>
      <c r="V14" s="207"/>
      <c r="X14" s="204"/>
      <c r="Y14" s="335"/>
      <c r="Z14" s="331"/>
      <c r="AA14" s="346"/>
      <c r="AB14" s="344"/>
      <c r="AC14" s="325"/>
      <c r="AD14" s="338"/>
    </row>
    <row r="15" spans="1:30" ht="21" x14ac:dyDescent="0.4">
      <c r="B15" s="237">
        <f t="shared" si="7"/>
        <v>7</v>
      </c>
      <c r="C15" s="263" t="s">
        <v>19</v>
      </c>
      <c r="D15" s="257" t="s">
        <v>16</v>
      </c>
      <c r="E15" s="258">
        <f>4+2</f>
        <v>6</v>
      </c>
      <c r="F15" s="259">
        <f>4+2</f>
        <v>6</v>
      </c>
      <c r="G15" s="260">
        <v>-3</v>
      </c>
      <c r="H15" s="261">
        <f>19+7+7+12</f>
        <v>45</v>
      </c>
      <c r="I15" s="261">
        <f>26+39+22+26</f>
        <v>113</v>
      </c>
      <c r="J15" s="262">
        <f t="shared" si="1"/>
        <v>0.39823008849557523</v>
      </c>
      <c r="K15" s="210"/>
      <c r="L15" s="265">
        <v>12</v>
      </c>
      <c r="M15" s="213">
        <f t="shared" si="2"/>
        <v>3.5999999999999996</v>
      </c>
      <c r="N15" s="295">
        <f t="shared" si="3"/>
        <v>15.6</v>
      </c>
      <c r="O15" s="213">
        <f t="shared" si="4"/>
        <v>6</v>
      </c>
      <c r="P15" s="293">
        <f t="shared" si="5"/>
        <v>18</v>
      </c>
      <c r="R15" s="222">
        <f t="shared" si="6"/>
        <v>12</v>
      </c>
      <c r="T15" s="182">
        <v>5</v>
      </c>
      <c r="U15" s="182" t="str">
        <f>C18</f>
        <v>JUANCHO PAZMIÑO</v>
      </c>
      <c r="V15" s="206">
        <v>0</v>
      </c>
      <c r="W15" s="326" t="str">
        <f>IF(V15&gt;V16,U15,U16)</f>
        <v>JHON ACOSTA</v>
      </c>
      <c r="X15" s="327">
        <v>0</v>
      </c>
      <c r="Y15" s="335"/>
      <c r="Z15" s="331"/>
      <c r="AA15" s="346"/>
      <c r="AB15" s="344"/>
      <c r="AC15" s="325"/>
      <c r="AD15" s="338"/>
    </row>
    <row r="16" spans="1:30" ht="21" x14ac:dyDescent="0.4">
      <c r="B16" s="237">
        <f t="shared" si="7"/>
        <v>8</v>
      </c>
      <c r="C16" s="256" t="s">
        <v>23</v>
      </c>
      <c r="D16" s="257" t="s">
        <v>16</v>
      </c>
      <c r="E16" s="258">
        <f>2+2</f>
        <v>4</v>
      </c>
      <c r="F16" s="264">
        <f>2+2</f>
        <v>4</v>
      </c>
      <c r="G16" s="260">
        <v>-4</v>
      </c>
      <c r="H16" s="261">
        <f>11+16+16+6</f>
        <v>49</v>
      </c>
      <c r="I16" s="261">
        <f>26+26+17+19</f>
        <v>88</v>
      </c>
      <c r="J16" s="262">
        <f t="shared" si="1"/>
        <v>0.55681818181818177</v>
      </c>
      <c r="K16" s="210"/>
      <c r="L16" s="265">
        <v>12</v>
      </c>
      <c r="M16" s="213">
        <f t="shared" si="2"/>
        <v>3.5999999999999996</v>
      </c>
      <c r="N16" s="295">
        <f t="shared" si="3"/>
        <v>15.6</v>
      </c>
      <c r="O16" s="213">
        <f t="shared" si="4"/>
        <v>6</v>
      </c>
      <c r="P16" s="293">
        <f t="shared" si="5"/>
        <v>18</v>
      </c>
      <c r="R16" s="222">
        <f t="shared" si="6"/>
        <v>12</v>
      </c>
      <c r="T16" s="183">
        <v>12</v>
      </c>
      <c r="U16" s="183" t="str">
        <f>C16</f>
        <v>JHON ACOSTA</v>
      </c>
      <c r="V16" s="206">
        <v>2</v>
      </c>
      <c r="W16" s="326"/>
      <c r="X16" s="327"/>
      <c r="Y16" s="336"/>
      <c r="Z16" s="331"/>
      <c r="AA16" s="346"/>
      <c r="AB16" s="344"/>
      <c r="AC16" s="325"/>
      <c r="AD16" s="338"/>
    </row>
    <row r="17" spans="2:30" ht="21" x14ac:dyDescent="0.4">
      <c r="B17" s="237">
        <f t="shared" si="7"/>
        <v>9</v>
      </c>
      <c r="C17" s="266" t="s">
        <v>17</v>
      </c>
      <c r="D17" s="267" t="s">
        <v>18</v>
      </c>
      <c r="E17" s="268">
        <v>4</v>
      </c>
      <c r="F17" s="269">
        <f>4+1</f>
        <v>5</v>
      </c>
      <c r="G17" s="270">
        <v>-3</v>
      </c>
      <c r="H17" s="271">
        <f>18+13+12</f>
        <v>43</v>
      </c>
      <c r="I17" s="271">
        <f>26+39+30</f>
        <v>95</v>
      </c>
      <c r="J17" s="272">
        <f t="shared" si="1"/>
        <v>0.45263157894736844</v>
      </c>
      <c r="K17" s="210"/>
      <c r="L17" s="275">
        <v>6</v>
      </c>
      <c r="M17" s="213">
        <f t="shared" si="2"/>
        <v>1.7999999999999998</v>
      </c>
      <c r="N17" s="295">
        <f t="shared" si="3"/>
        <v>7.8</v>
      </c>
      <c r="O17" s="213">
        <f t="shared" si="4"/>
        <v>3</v>
      </c>
      <c r="P17" s="293">
        <f t="shared" si="5"/>
        <v>9</v>
      </c>
      <c r="R17" s="222">
        <f t="shared" si="6"/>
        <v>6</v>
      </c>
      <c r="V17" s="207"/>
      <c r="X17" s="202"/>
      <c r="Z17" s="205"/>
      <c r="AA17" s="346"/>
      <c r="AB17" s="344"/>
      <c r="AC17" s="325"/>
      <c r="AD17" s="338"/>
    </row>
    <row r="18" spans="2:30" ht="21" x14ac:dyDescent="0.4">
      <c r="B18" s="237">
        <f t="shared" si="7"/>
        <v>10</v>
      </c>
      <c r="C18" s="266" t="s">
        <v>14</v>
      </c>
      <c r="D18" s="267" t="s">
        <v>11</v>
      </c>
      <c r="E18" s="268">
        <v>4</v>
      </c>
      <c r="F18" s="269">
        <v>4</v>
      </c>
      <c r="G18" s="270">
        <v>-3</v>
      </c>
      <c r="H18" s="271">
        <f>19+25+19+7</f>
        <v>70</v>
      </c>
      <c r="I18" s="271">
        <f>13+9+36+19</f>
        <v>77</v>
      </c>
      <c r="J18" s="272">
        <f t="shared" si="1"/>
        <v>0.90909090909090906</v>
      </c>
      <c r="K18" s="210"/>
      <c r="L18" s="275">
        <v>6</v>
      </c>
      <c r="M18" s="213">
        <f t="shared" si="2"/>
        <v>1.7999999999999998</v>
      </c>
      <c r="N18" s="295">
        <f t="shared" si="3"/>
        <v>7.8</v>
      </c>
      <c r="O18" s="215">
        <f t="shared" si="4"/>
        <v>3</v>
      </c>
      <c r="P18" s="293">
        <f t="shared" si="5"/>
        <v>9</v>
      </c>
      <c r="R18" s="222">
        <f t="shared" si="6"/>
        <v>6</v>
      </c>
      <c r="T18" s="182">
        <v>7</v>
      </c>
      <c r="U18" s="182" t="str">
        <f>C17</f>
        <v>MIGUEL BEDOYA</v>
      </c>
      <c r="V18" s="206">
        <v>0</v>
      </c>
      <c r="W18" s="326" t="str">
        <f>IF(V18&gt;V19,U18,U19)</f>
        <v>JORGE HERNANDEZ</v>
      </c>
      <c r="X18" s="327">
        <v>2</v>
      </c>
      <c r="Y18" s="328" t="str">
        <f>IF(X18&gt;X21,W18,W21)</f>
        <v>JORGE HERNANDEZ</v>
      </c>
      <c r="Z18" s="331">
        <v>0</v>
      </c>
      <c r="AA18" s="346"/>
      <c r="AB18" s="344"/>
      <c r="AC18" s="325"/>
      <c r="AD18" s="338"/>
    </row>
    <row r="19" spans="2:30" ht="21" x14ac:dyDescent="0.4">
      <c r="B19" s="237">
        <f t="shared" si="7"/>
        <v>11</v>
      </c>
      <c r="C19" s="273" t="s">
        <v>20</v>
      </c>
      <c r="D19" s="267" t="s">
        <v>9</v>
      </c>
      <c r="E19" s="268">
        <v>4</v>
      </c>
      <c r="F19" s="269">
        <v>2</v>
      </c>
      <c r="G19" s="270">
        <v>-2</v>
      </c>
      <c r="H19" s="271">
        <f>4+3+5+6</f>
        <v>18</v>
      </c>
      <c r="I19" s="271">
        <f>39+26</f>
        <v>65</v>
      </c>
      <c r="J19" s="272">
        <f t="shared" si="1"/>
        <v>0.27692307692307694</v>
      </c>
      <c r="K19" s="210"/>
      <c r="L19" s="275">
        <v>6</v>
      </c>
      <c r="M19" s="213">
        <f t="shared" si="2"/>
        <v>1.7999999999999998</v>
      </c>
      <c r="N19" s="295">
        <f t="shared" si="3"/>
        <v>7.8</v>
      </c>
      <c r="O19" s="215">
        <f t="shared" si="4"/>
        <v>3</v>
      </c>
      <c r="P19" s="293">
        <f t="shared" si="5"/>
        <v>9</v>
      </c>
      <c r="R19" s="222">
        <f t="shared" si="6"/>
        <v>6</v>
      </c>
      <c r="T19" s="183">
        <v>10</v>
      </c>
      <c r="U19" s="183" t="str">
        <f>C12</f>
        <v>JORGE HERNANDEZ</v>
      </c>
      <c r="V19" s="206">
        <v>2</v>
      </c>
      <c r="W19" s="326"/>
      <c r="X19" s="327"/>
      <c r="Y19" s="329"/>
      <c r="Z19" s="331"/>
      <c r="AA19" s="346"/>
      <c r="AB19" s="344"/>
      <c r="AC19" s="332" t="str">
        <f>IF(AB12&gt;AB24,AA12,AA24)</f>
        <v>JORGE CUMBAL</v>
      </c>
      <c r="AD19" s="338"/>
    </row>
    <row r="20" spans="2:30" ht="21" x14ac:dyDescent="0.4">
      <c r="B20" s="237">
        <f t="shared" si="7"/>
        <v>12</v>
      </c>
      <c r="C20" s="266" t="s">
        <v>26</v>
      </c>
      <c r="D20" s="267" t="s">
        <v>9</v>
      </c>
      <c r="E20" s="268">
        <v>2</v>
      </c>
      <c r="F20" s="274">
        <f>2+1</f>
        <v>3</v>
      </c>
      <c r="G20" s="270">
        <v>-5</v>
      </c>
      <c r="H20" s="271">
        <f>20+20+18</f>
        <v>58</v>
      </c>
      <c r="I20" s="271">
        <f>39+35+38</f>
        <v>112</v>
      </c>
      <c r="J20" s="272">
        <f t="shared" si="1"/>
        <v>0.5178571428571429</v>
      </c>
      <c r="K20" s="210"/>
      <c r="L20" s="275">
        <v>6</v>
      </c>
      <c r="M20" s="213">
        <f t="shared" si="2"/>
        <v>1.7999999999999998</v>
      </c>
      <c r="N20" s="295">
        <f t="shared" si="3"/>
        <v>7.8</v>
      </c>
      <c r="O20" s="215">
        <f t="shared" si="4"/>
        <v>3</v>
      </c>
      <c r="P20" s="293">
        <f t="shared" si="5"/>
        <v>9</v>
      </c>
      <c r="R20" s="222">
        <f t="shared" si="6"/>
        <v>6</v>
      </c>
      <c r="V20" s="207"/>
      <c r="X20" s="204"/>
      <c r="Y20" s="329"/>
      <c r="Z20" s="331"/>
      <c r="AA20" s="346"/>
      <c r="AB20" s="344"/>
      <c r="AC20" s="332"/>
      <c r="AD20" s="338"/>
    </row>
    <row r="21" spans="2:30" ht="21" x14ac:dyDescent="0.4">
      <c r="B21" s="237">
        <f t="shared" si="7"/>
        <v>13</v>
      </c>
      <c r="C21" s="266" t="s">
        <v>27</v>
      </c>
      <c r="D21" s="267" t="s">
        <v>11</v>
      </c>
      <c r="E21" s="268">
        <v>2</v>
      </c>
      <c r="F21" s="269">
        <f>2+1</f>
        <v>3</v>
      </c>
      <c r="G21" s="270">
        <v>-5</v>
      </c>
      <c r="H21" s="271">
        <f>5+3+2+9+8+21</f>
        <v>48</v>
      </c>
      <c r="I21" s="271">
        <f>39+13+10+34</f>
        <v>96</v>
      </c>
      <c r="J21" s="272">
        <f t="shared" si="1"/>
        <v>0.5</v>
      </c>
      <c r="K21" s="210"/>
      <c r="L21" s="275">
        <v>6</v>
      </c>
      <c r="M21" s="213">
        <f t="shared" si="2"/>
        <v>1.7999999999999998</v>
      </c>
      <c r="N21" s="295">
        <f t="shared" si="3"/>
        <v>7.8</v>
      </c>
      <c r="O21" s="215">
        <f t="shared" si="4"/>
        <v>3</v>
      </c>
      <c r="P21" s="293">
        <f t="shared" si="5"/>
        <v>9</v>
      </c>
      <c r="R21" s="222">
        <f t="shared" si="6"/>
        <v>6</v>
      </c>
      <c r="T21" s="182">
        <v>4</v>
      </c>
      <c r="U21" s="182" t="str">
        <f>C13</f>
        <v>EDWIN LOPEZ</v>
      </c>
      <c r="V21" s="206">
        <v>2</v>
      </c>
      <c r="W21" s="333" t="str">
        <f>IF(V21&gt;V22,U21,U22)</f>
        <v>EDWIN LOPEZ</v>
      </c>
      <c r="X21" s="327">
        <v>0</v>
      </c>
      <c r="Y21" s="329"/>
      <c r="Z21" s="331"/>
      <c r="AA21" s="346"/>
      <c r="AB21" s="344"/>
      <c r="AC21" s="332"/>
      <c r="AD21" s="338"/>
    </row>
    <row r="22" spans="2:30" ht="21.6" thickBot="1" x14ac:dyDescent="0.45">
      <c r="B22" s="237">
        <f t="shared" si="7"/>
        <v>14</v>
      </c>
      <c r="C22" s="266" t="s">
        <v>24</v>
      </c>
      <c r="D22" s="267" t="s">
        <v>16</v>
      </c>
      <c r="E22" s="268">
        <v>2</v>
      </c>
      <c r="F22" s="274">
        <v>3</v>
      </c>
      <c r="G22" s="270">
        <v>-5</v>
      </c>
      <c r="H22" s="271">
        <f>5+5+6+2+10+6</f>
        <v>34</v>
      </c>
      <c r="I22" s="271">
        <f>13+13+12+8+13+26</f>
        <v>85</v>
      </c>
      <c r="J22" s="272">
        <f t="shared" si="1"/>
        <v>0.4</v>
      </c>
      <c r="K22" s="210"/>
      <c r="L22" s="275">
        <v>6</v>
      </c>
      <c r="M22" s="213">
        <f t="shared" si="2"/>
        <v>1.7999999999999998</v>
      </c>
      <c r="N22" s="295">
        <f t="shared" si="3"/>
        <v>7.8</v>
      </c>
      <c r="O22" s="215">
        <f t="shared" si="4"/>
        <v>3</v>
      </c>
      <c r="P22" s="293">
        <f t="shared" si="5"/>
        <v>9</v>
      </c>
      <c r="R22" s="222">
        <f t="shared" si="6"/>
        <v>6</v>
      </c>
      <c r="T22" s="183">
        <v>13</v>
      </c>
      <c r="U22" s="183" t="str">
        <f>C22</f>
        <v>PABLO GETIAL</v>
      </c>
      <c r="V22" s="206">
        <v>0</v>
      </c>
      <c r="W22" s="333"/>
      <c r="X22" s="327"/>
      <c r="Y22" s="330"/>
      <c r="Z22" s="331"/>
      <c r="AA22" s="347"/>
      <c r="AB22" s="344"/>
      <c r="AC22" s="332"/>
      <c r="AD22" s="338"/>
    </row>
    <row r="23" spans="2:30" ht="21.6" thickBot="1" x14ac:dyDescent="0.45">
      <c r="B23" s="237">
        <f t="shared" si="7"/>
        <v>15</v>
      </c>
      <c r="C23" s="266" t="s">
        <v>25</v>
      </c>
      <c r="D23" s="267" t="s">
        <v>9</v>
      </c>
      <c r="E23" s="268">
        <v>2</v>
      </c>
      <c r="F23" s="274">
        <v>2</v>
      </c>
      <c r="G23" s="270">
        <v>-4</v>
      </c>
      <c r="H23" s="271">
        <f>15+5+10</f>
        <v>30</v>
      </c>
      <c r="I23" s="271">
        <f>26+26+20</f>
        <v>72</v>
      </c>
      <c r="J23" s="272">
        <f t="shared" si="1"/>
        <v>0.41666666666666669</v>
      </c>
      <c r="K23" s="210"/>
      <c r="L23" s="275">
        <v>6</v>
      </c>
      <c r="M23" s="213">
        <f t="shared" si="2"/>
        <v>1.7999999999999998</v>
      </c>
      <c r="N23" s="295">
        <f t="shared" si="3"/>
        <v>7.8</v>
      </c>
      <c r="O23" s="215">
        <f t="shared" si="4"/>
        <v>3</v>
      </c>
      <c r="P23" s="293">
        <f t="shared" si="5"/>
        <v>9</v>
      </c>
      <c r="R23" s="222">
        <f t="shared" si="6"/>
        <v>6</v>
      </c>
      <c r="V23" s="207"/>
      <c r="X23" s="202"/>
      <c r="Z23" s="200"/>
      <c r="AB23" s="185"/>
      <c r="AC23" s="332"/>
      <c r="AD23" s="338"/>
    </row>
    <row r="24" spans="2:30" ht="21" x14ac:dyDescent="0.4">
      <c r="B24" s="237">
        <f t="shared" si="7"/>
        <v>16</v>
      </c>
      <c r="C24" s="266" t="s">
        <v>22</v>
      </c>
      <c r="D24" s="267" t="s">
        <v>11</v>
      </c>
      <c r="E24" s="268">
        <v>2</v>
      </c>
      <c r="F24" s="269">
        <v>2</v>
      </c>
      <c r="G24" s="270">
        <v>-4</v>
      </c>
      <c r="H24" s="271">
        <f>9+10+3+5</f>
        <v>27</v>
      </c>
      <c r="I24" s="271">
        <f>25+16+26</f>
        <v>67</v>
      </c>
      <c r="J24" s="272">
        <f t="shared" si="1"/>
        <v>0.40298507462686567</v>
      </c>
      <c r="K24" s="210"/>
      <c r="L24" s="275">
        <v>6</v>
      </c>
      <c r="M24" s="213">
        <f t="shared" si="2"/>
        <v>1.7999999999999998</v>
      </c>
      <c r="N24" s="295">
        <f t="shared" si="3"/>
        <v>7.8</v>
      </c>
      <c r="O24" s="215">
        <f t="shared" si="4"/>
        <v>3</v>
      </c>
      <c r="P24" s="293">
        <f t="shared" si="5"/>
        <v>9</v>
      </c>
      <c r="R24" s="222">
        <f t="shared" si="6"/>
        <v>6</v>
      </c>
      <c r="T24" s="223">
        <v>2</v>
      </c>
      <c r="U24" s="223" t="str">
        <f>C11</f>
        <v>EDGAR PAZMIÑO</v>
      </c>
      <c r="V24" s="206">
        <v>2</v>
      </c>
      <c r="W24" s="337" t="str">
        <f>IF(V24&gt;V25,U24,U25)</f>
        <v>EDGAR PAZMIÑO</v>
      </c>
      <c r="X24" s="327">
        <v>2</v>
      </c>
      <c r="Y24" s="341" t="str">
        <f>IF(X24&gt;X27,W24,W27)</f>
        <v>EDGAR PAZMIÑO</v>
      </c>
      <c r="Z24" s="331">
        <v>0</v>
      </c>
      <c r="AA24" s="348" t="str">
        <f>IF(Z24&gt;Z30,Y24,Y30)</f>
        <v>CRISTIAN GUANCHA</v>
      </c>
      <c r="AB24" s="344">
        <v>0</v>
      </c>
      <c r="AC24" s="332"/>
      <c r="AD24" s="338"/>
    </row>
    <row r="25" spans="2:30" ht="21" x14ac:dyDescent="0.4">
      <c r="B25" s="237">
        <f t="shared" si="7"/>
        <v>17</v>
      </c>
      <c r="C25" s="276" t="s">
        <v>28</v>
      </c>
      <c r="D25" s="277" t="s">
        <v>16</v>
      </c>
      <c r="E25" s="278">
        <v>2</v>
      </c>
      <c r="F25" s="286">
        <v>3</v>
      </c>
      <c r="G25" s="287">
        <v>-3</v>
      </c>
      <c r="H25" s="279">
        <f>15+16</f>
        <v>31</v>
      </c>
      <c r="I25" s="279">
        <f>39+39</f>
        <v>78</v>
      </c>
      <c r="J25" s="280">
        <f t="shared" si="1"/>
        <v>0.39743589743589741</v>
      </c>
      <c r="K25" s="210"/>
      <c r="L25" s="216">
        <v>4</v>
      </c>
      <c r="M25" s="213">
        <f t="shared" si="2"/>
        <v>1.2</v>
      </c>
      <c r="N25" s="295">
        <f t="shared" si="3"/>
        <v>5.2</v>
      </c>
      <c r="O25" s="215">
        <f t="shared" si="4"/>
        <v>2</v>
      </c>
      <c r="P25" s="293">
        <f t="shared" si="5"/>
        <v>6</v>
      </c>
      <c r="R25" s="222">
        <f t="shared" si="6"/>
        <v>4</v>
      </c>
      <c r="T25" s="183">
        <v>15</v>
      </c>
      <c r="U25" s="186" t="str">
        <f>C20</f>
        <v>LESTER LEON</v>
      </c>
      <c r="V25" s="206">
        <v>0</v>
      </c>
      <c r="W25" s="337"/>
      <c r="X25" s="327"/>
      <c r="Y25" s="342"/>
      <c r="Z25" s="331"/>
      <c r="AA25" s="349"/>
      <c r="AB25" s="344"/>
      <c r="AC25" s="332"/>
      <c r="AD25" s="338"/>
    </row>
    <row r="26" spans="2:30" ht="21" x14ac:dyDescent="0.4">
      <c r="B26" s="237">
        <f t="shared" si="7"/>
        <v>18</v>
      </c>
      <c r="C26" s="281" t="s">
        <v>29</v>
      </c>
      <c r="D26" s="282" t="s">
        <v>18</v>
      </c>
      <c r="E26" s="283">
        <v>2</v>
      </c>
      <c r="F26" s="288">
        <v>2</v>
      </c>
      <c r="G26" s="289">
        <v>-3</v>
      </c>
      <c r="H26" s="284">
        <f>3+8+7+2+4+3</f>
        <v>27</v>
      </c>
      <c r="I26" s="284">
        <f>39+39</f>
        <v>78</v>
      </c>
      <c r="J26" s="285">
        <f t="shared" si="1"/>
        <v>0.34615384615384615</v>
      </c>
      <c r="K26" s="210"/>
      <c r="L26" s="216">
        <v>4</v>
      </c>
      <c r="M26" s="213">
        <f t="shared" si="2"/>
        <v>1.2</v>
      </c>
      <c r="N26" s="295">
        <f t="shared" si="3"/>
        <v>5.2</v>
      </c>
      <c r="O26" s="215">
        <f t="shared" si="4"/>
        <v>2</v>
      </c>
      <c r="P26" s="293">
        <f t="shared" si="5"/>
        <v>6</v>
      </c>
      <c r="R26" s="222">
        <f t="shared" si="6"/>
        <v>4</v>
      </c>
      <c r="V26" s="207"/>
      <c r="X26" s="204"/>
      <c r="Y26" s="342"/>
      <c r="Z26" s="331"/>
      <c r="AA26" s="349"/>
      <c r="AB26" s="344"/>
      <c r="AC26" s="332"/>
      <c r="AD26" s="338"/>
    </row>
    <row r="27" spans="2:30" ht="21" x14ac:dyDescent="0.4">
      <c r="B27" s="238">
        <v>19</v>
      </c>
      <c r="C27" s="276" t="s">
        <v>39</v>
      </c>
      <c r="D27" s="277" t="s">
        <v>11</v>
      </c>
      <c r="E27" s="278">
        <v>0</v>
      </c>
      <c r="F27" s="286">
        <v>1</v>
      </c>
      <c r="G27" s="287">
        <v>-4</v>
      </c>
      <c r="H27" s="279">
        <f>20+8+9</f>
        <v>37</v>
      </c>
      <c r="I27" s="279">
        <f>37+11+10</f>
        <v>58</v>
      </c>
      <c r="J27" s="290">
        <f t="shared" si="1"/>
        <v>0.63793103448275867</v>
      </c>
      <c r="K27" s="210"/>
      <c r="L27" s="216">
        <v>3</v>
      </c>
      <c r="M27" s="214">
        <f t="shared" si="2"/>
        <v>0.89999999999999991</v>
      </c>
      <c r="N27" s="294">
        <f t="shared" si="3"/>
        <v>3.9</v>
      </c>
      <c r="O27" s="216">
        <f t="shared" si="4"/>
        <v>1.5</v>
      </c>
      <c r="P27" s="292">
        <f t="shared" si="5"/>
        <v>4.5</v>
      </c>
      <c r="R27" s="222">
        <f t="shared" si="6"/>
        <v>3</v>
      </c>
      <c r="T27" s="223">
        <v>6</v>
      </c>
      <c r="U27" s="223" t="str">
        <f>C14</f>
        <v>GABRIEL ORTIZ</v>
      </c>
      <c r="V27" s="206">
        <v>2</v>
      </c>
      <c r="W27" s="337" t="str">
        <f>IF(V27&gt;V28,U27,U28)</f>
        <v>GABRIEL ORTIZ</v>
      </c>
      <c r="X27" s="327">
        <v>0</v>
      </c>
      <c r="Y27" s="342"/>
      <c r="Z27" s="331"/>
      <c r="AA27" s="349"/>
      <c r="AB27" s="344"/>
      <c r="AC27" s="332"/>
      <c r="AD27" s="338"/>
    </row>
    <row r="28" spans="2:30" ht="21" x14ac:dyDescent="0.4">
      <c r="B28" s="238">
        <v>20</v>
      </c>
      <c r="C28" s="276" t="s">
        <v>40</v>
      </c>
      <c r="D28" s="277" t="s">
        <v>16</v>
      </c>
      <c r="E28" s="278">
        <v>0</v>
      </c>
      <c r="F28" s="291">
        <v>1</v>
      </c>
      <c r="G28" s="287">
        <v>-4</v>
      </c>
      <c r="H28" s="279">
        <f>5+10+8+3+1</f>
        <v>27</v>
      </c>
      <c r="I28" s="279">
        <f>9+10+9+13+12</f>
        <v>53</v>
      </c>
      <c r="J28" s="290">
        <f t="shared" si="1"/>
        <v>0.50943396226415094</v>
      </c>
      <c r="L28" s="216">
        <v>3</v>
      </c>
      <c r="M28" s="214">
        <f t="shared" si="2"/>
        <v>0.89999999999999991</v>
      </c>
      <c r="N28" s="294">
        <f t="shared" si="3"/>
        <v>3.9</v>
      </c>
      <c r="O28" s="216">
        <f t="shared" si="4"/>
        <v>1.5</v>
      </c>
      <c r="P28" s="292">
        <f t="shared" si="5"/>
        <v>4.5</v>
      </c>
      <c r="R28" s="222">
        <f t="shared" si="6"/>
        <v>3</v>
      </c>
      <c r="T28" s="183">
        <v>11</v>
      </c>
      <c r="U28" s="183" t="str">
        <f>C24</f>
        <v>RAMIRO MAFLA</v>
      </c>
      <c r="V28" s="206">
        <v>0</v>
      </c>
      <c r="W28" s="337"/>
      <c r="X28" s="327"/>
      <c r="Y28" s="343"/>
      <c r="Z28" s="331"/>
      <c r="AA28" s="349"/>
      <c r="AB28" s="344"/>
      <c r="AC28" s="332"/>
      <c r="AD28" s="338"/>
    </row>
    <row r="29" spans="2:30" ht="21" x14ac:dyDescent="0.4">
      <c r="B29" s="238">
        <v>21</v>
      </c>
      <c r="C29" s="276" t="s">
        <v>37</v>
      </c>
      <c r="D29" s="277" t="s">
        <v>9</v>
      </c>
      <c r="E29" s="278">
        <v>0</v>
      </c>
      <c r="F29" s="291">
        <v>1</v>
      </c>
      <c r="G29" s="287">
        <v>-4</v>
      </c>
      <c r="H29" s="279">
        <f>15+12</f>
        <v>27</v>
      </c>
      <c r="I29" s="279">
        <f>39+13+8</f>
        <v>60</v>
      </c>
      <c r="J29" s="290">
        <f t="shared" si="1"/>
        <v>0.45</v>
      </c>
      <c r="L29" s="216">
        <v>3</v>
      </c>
      <c r="M29" s="214">
        <f t="shared" si="2"/>
        <v>0.89999999999999991</v>
      </c>
      <c r="N29" s="294">
        <f t="shared" si="3"/>
        <v>3.9</v>
      </c>
      <c r="O29" s="216">
        <f t="shared" si="4"/>
        <v>1.5</v>
      </c>
      <c r="P29" s="292">
        <f t="shared" si="5"/>
        <v>4.5</v>
      </c>
      <c r="R29" s="222">
        <f t="shared" si="6"/>
        <v>3</v>
      </c>
      <c r="V29" s="207"/>
      <c r="X29" s="202"/>
      <c r="Z29" s="205"/>
      <c r="AA29" s="349"/>
      <c r="AB29" s="344"/>
      <c r="AC29" s="339" t="s">
        <v>9</v>
      </c>
      <c r="AD29" s="338"/>
    </row>
    <row r="30" spans="2:30" ht="21" x14ac:dyDescent="0.4">
      <c r="B30" s="238">
        <v>22</v>
      </c>
      <c r="C30" s="276" t="s">
        <v>33</v>
      </c>
      <c r="D30" s="277" t="s">
        <v>16</v>
      </c>
      <c r="E30" s="278">
        <v>0</v>
      </c>
      <c r="F30" s="291">
        <v>1</v>
      </c>
      <c r="G30" s="287">
        <v>-4</v>
      </c>
      <c r="H30" s="279">
        <v>22</v>
      </c>
      <c r="I30" s="279">
        <f>37+26</f>
        <v>63</v>
      </c>
      <c r="J30" s="290">
        <f t="shared" si="1"/>
        <v>0.34920634920634919</v>
      </c>
      <c r="L30" s="216">
        <v>3</v>
      </c>
      <c r="M30" s="214">
        <f t="shared" si="2"/>
        <v>0.89999999999999991</v>
      </c>
      <c r="N30" s="294">
        <f t="shared" si="3"/>
        <v>3.9</v>
      </c>
      <c r="O30" s="216">
        <f t="shared" si="4"/>
        <v>1.5</v>
      </c>
      <c r="P30" s="292">
        <f t="shared" si="5"/>
        <v>4.5</v>
      </c>
      <c r="R30" s="222">
        <f t="shared" si="6"/>
        <v>3</v>
      </c>
      <c r="T30" s="223">
        <v>8</v>
      </c>
      <c r="U30" s="223" t="str">
        <f>C15</f>
        <v>JHON QUENGUAN</v>
      </c>
      <c r="V30" s="206">
        <v>2</v>
      </c>
      <c r="W30" s="337" t="str">
        <f>IF(V30&gt;V31,U30,U31)</f>
        <v>JHON QUENGUAN</v>
      </c>
      <c r="X30" s="327">
        <v>0</v>
      </c>
      <c r="Y30" s="341" t="str">
        <f>IF(X30&gt;X33,W30,W33)</f>
        <v>CRISTIAN GUANCHA</v>
      </c>
      <c r="Z30" s="331">
        <v>2</v>
      </c>
      <c r="AA30" s="349"/>
      <c r="AB30" s="344"/>
      <c r="AC30" s="339"/>
      <c r="AD30" s="338"/>
    </row>
    <row r="31" spans="2:30" ht="21" x14ac:dyDescent="0.4">
      <c r="B31" s="238">
        <v>23</v>
      </c>
      <c r="C31" s="276" t="s">
        <v>41</v>
      </c>
      <c r="D31" s="277" t="s">
        <v>11</v>
      </c>
      <c r="E31" s="278">
        <v>0</v>
      </c>
      <c r="F31" s="291">
        <v>1</v>
      </c>
      <c r="G31" s="287">
        <v>-4</v>
      </c>
      <c r="H31" s="279">
        <f>3+5+3+5+5</f>
        <v>21</v>
      </c>
      <c r="I31" s="279">
        <f>26+26+13</f>
        <v>65</v>
      </c>
      <c r="J31" s="290">
        <f t="shared" si="1"/>
        <v>0.32307692307692309</v>
      </c>
      <c r="L31" s="216">
        <v>3</v>
      </c>
      <c r="M31" s="214">
        <f t="shared" si="2"/>
        <v>0.89999999999999991</v>
      </c>
      <c r="N31" s="294">
        <f t="shared" si="3"/>
        <v>3.9</v>
      </c>
      <c r="O31" s="216">
        <f t="shared" si="4"/>
        <v>1.5</v>
      </c>
      <c r="P31" s="292">
        <f t="shared" si="5"/>
        <v>4.5</v>
      </c>
      <c r="R31" s="222">
        <f t="shared" si="6"/>
        <v>3</v>
      </c>
      <c r="T31" s="183">
        <v>9</v>
      </c>
      <c r="U31" s="183" t="str">
        <f>C19</f>
        <v xml:space="preserve">ESTEBAN AYALA </v>
      </c>
      <c r="V31" s="206">
        <v>0</v>
      </c>
      <c r="W31" s="337"/>
      <c r="X31" s="327"/>
      <c r="Y31" s="342"/>
      <c r="Z31" s="331"/>
      <c r="AA31" s="349"/>
      <c r="AB31" s="344"/>
      <c r="AC31" s="339"/>
      <c r="AD31" s="338"/>
    </row>
    <row r="32" spans="2:30" ht="21" x14ac:dyDescent="0.4">
      <c r="B32" s="238">
        <v>24</v>
      </c>
      <c r="C32" s="276" t="s">
        <v>35</v>
      </c>
      <c r="D32" s="277" t="s">
        <v>9</v>
      </c>
      <c r="E32" s="278">
        <v>0</v>
      </c>
      <c r="F32" s="291">
        <v>1</v>
      </c>
      <c r="G32" s="287">
        <v>-4</v>
      </c>
      <c r="H32" s="279">
        <f>9+10</f>
        <v>19</v>
      </c>
      <c r="I32" s="279">
        <f>26+26</f>
        <v>52</v>
      </c>
      <c r="J32" s="290">
        <f t="shared" si="1"/>
        <v>0.36538461538461536</v>
      </c>
      <c r="L32" s="216">
        <v>3</v>
      </c>
      <c r="M32" s="214">
        <f t="shared" si="2"/>
        <v>0.89999999999999991</v>
      </c>
      <c r="N32" s="294">
        <f t="shared" si="3"/>
        <v>3.9</v>
      </c>
      <c r="O32" s="216">
        <f t="shared" si="4"/>
        <v>1.5</v>
      </c>
      <c r="P32" s="292">
        <f t="shared" si="5"/>
        <v>4.5</v>
      </c>
      <c r="R32" s="222">
        <f t="shared" si="6"/>
        <v>3</v>
      </c>
      <c r="V32" s="207"/>
      <c r="X32" s="204"/>
      <c r="Y32" s="342"/>
      <c r="Z32" s="331"/>
      <c r="AA32" s="349"/>
      <c r="AB32" s="344"/>
      <c r="AC32" s="339"/>
      <c r="AD32" s="338"/>
    </row>
    <row r="33" spans="2:30" ht="21" x14ac:dyDescent="0.4">
      <c r="B33" s="238">
        <v>25</v>
      </c>
      <c r="C33" s="276" t="s">
        <v>36</v>
      </c>
      <c r="D33" s="277" t="s">
        <v>9</v>
      </c>
      <c r="E33" s="278">
        <v>0</v>
      </c>
      <c r="F33" s="291">
        <v>1</v>
      </c>
      <c r="G33" s="287">
        <v>-4</v>
      </c>
      <c r="H33" s="279">
        <v>17</v>
      </c>
      <c r="I33" s="279">
        <f>26+39</f>
        <v>65</v>
      </c>
      <c r="J33" s="290">
        <f t="shared" si="1"/>
        <v>0.26153846153846155</v>
      </c>
      <c r="L33" s="216">
        <v>3</v>
      </c>
      <c r="M33" s="214">
        <f t="shared" si="2"/>
        <v>0.89999999999999991</v>
      </c>
      <c r="N33" s="294">
        <f t="shared" si="3"/>
        <v>3.9</v>
      </c>
      <c r="O33" s="216">
        <f t="shared" si="4"/>
        <v>1.5</v>
      </c>
      <c r="P33" s="292">
        <f t="shared" si="5"/>
        <v>4.5</v>
      </c>
      <c r="R33" s="222">
        <f t="shared" si="6"/>
        <v>3</v>
      </c>
      <c r="T33" s="223">
        <v>3</v>
      </c>
      <c r="U33" s="223" t="str">
        <f>C10</f>
        <v>CRISTIAN GUANCHA</v>
      </c>
      <c r="V33" s="206">
        <v>2</v>
      </c>
      <c r="W33" s="337" t="str">
        <f>IF(V33&gt;V34,U33,U34)</f>
        <v>CRISTIAN GUANCHA</v>
      </c>
      <c r="X33" s="327">
        <v>2</v>
      </c>
      <c r="Y33" s="342"/>
      <c r="Z33" s="331"/>
      <c r="AA33" s="349"/>
      <c r="AB33" s="344"/>
      <c r="AC33" s="339"/>
      <c r="AD33" s="338"/>
    </row>
    <row r="34" spans="2:30" ht="21.6" thickBot="1" x14ac:dyDescent="0.45">
      <c r="B34" s="238">
        <v>26</v>
      </c>
      <c r="C34" s="276" t="s">
        <v>34</v>
      </c>
      <c r="D34" s="277" t="s">
        <v>16</v>
      </c>
      <c r="E34" s="278">
        <v>0</v>
      </c>
      <c r="F34" s="291">
        <v>1</v>
      </c>
      <c r="G34" s="287">
        <v>-4</v>
      </c>
      <c r="H34" s="279">
        <f>5+10</f>
        <v>15</v>
      </c>
      <c r="I34" s="279">
        <f>26+39</f>
        <v>65</v>
      </c>
      <c r="J34" s="290">
        <f t="shared" si="1"/>
        <v>0.23076923076923078</v>
      </c>
      <c r="L34" s="216">
        <v>3</v>
      </c>
      <c r="M34" s="214">
        <f t="shared" si="2"/>
        <v>0.89999999999999991</v>
      </c>
      <c r="N34" s="294">
        <f t="shared" ref="N34:N35" si="8">M34+L34</f>
        <v>3.9</v>
      </c>
      <c r="O34" s="216">
        <f t="shared" ref="O34:O35" si="9">L34*50%</f>
        <v>1.5</v>
      </c>
      <c r="P34" s="292">
        <f t="shared" ref="P34:P35" si="10">O34+L34</f>
        <v>4.5</v>
      </c>
      <c r="R34" s="222">
        <f t="shared" si="6"/>
        <v>3</v>
      </c>
      <c r="T34" s="183">
        <v>14</v>
      </c>
      <c r="U34" s="183" t="str">
        <f>C23</f>
        <v>CRISTIAN SALAZAR</v>
      </c>
      <c r="V34" s="206">
        <v>0</v>
      </c>
      <c r="W34" s="337"/>
      <c r="X34" s="327"/>
      <c r="Y34" s="343"/>
      <c r="Z34" s="331"/>
      <c r="AA34" s="350"/>
      <c r="AB34" s="344"/>
      <c r="AC34" s="340"/>
      <c r="AD34" s="338"/>
    </row>
    <row r="35" spans="2:30" ht="21" x14ac:dyDescent="0.4">
      <c r="B35" s="238">
        <v>27</v>
      </c>
      <c r="C35" s="276" t="s">
        <v>38</v>
      </c>
      <c r="D35" s="277" t="s">
        <v>18</v>
      </c>
      <c r="E35" s="278">
        <v>0</v>
      </c>
      <c r="F35" s="291">
        <v>1</v>
      </c>
      <c r="G35" s="287">
        <v>-4</v>
      </c>
      <c r="H35" s="279">
        <f>5+6+2</f>
        <v>13</v>
      </c>
      <c r="I35" s="279">
        <v>39</v>
      </c>
      <c r="J35" s="290">
        <f t="shared" si="1"/>
        <v>0.33333333333333331</v>
      </c>
      <c r="L35" s="216">
        <v>3</v>
      </c>
      <c r="M35" s="214">
        <f t="shared" si="2"/>
        <v>0.89999999999999991</v>
      </c>
      <c r="N35" s="294">
        <f t="shared" si="8"/>
        <v>3.9</v>
      </c>
      <c r="O35" s="216">
        <f t="shared" si="9"/>
        <v>1.5</v>
      </c>
      <c r="P35" s="292">
        <f t="shared" si="10"/>
        <v>4.5</v>
      </c>
      <c r="R35" s="222">
        <f t="shared" si="6"/>
        <v>3</v>
      </c>
    </row>
    <row r="36" spans="2:30" x14ac:dyDescent="0.3">
      <c r="L36" s="212"/>
      <c r="M36" s="212"/>
      <c r="N36" s="212"/>
      <c r="O36" s="212"/>
      <c r="P36" s="212"/>
    </row>
    <row r="37" spans="2:30" ht="16.95" customHeight="1" x14ac:dyDescent="0.4">
      <c r="E37" s="233"/>
      <c r="F37" s="231"/>
      <c r="G37" s="231"/>
      <c r="H37" s="6"/>
      <c r="I37" s="6"/>
      <c r="J37" s="236"/>
      <c r="L37" s="212"/>
      <c r="M37" s="212"/>
      <c r="N37" s="212"/>
      <c r="O37" s="212"/>
      <c r="P37" s="212"/>
    </row>
    <row r="38" spans="2:30" ht="14.4" customHeight="1" x14ac:dyDescent="0.4">
      <c r="E38" s="233"/>
      <c r="F38" s="231"/>
      <c r="G38" s="231"/>
      <c r="H38" s="6"/>
      <c r="I38" s="6"/>
      <c r="J38" s="236"/>
    </row>
    <row r="40" spans="2:30" ht="18.600000000000001" customHeight="1" x14ac:dyDescent="0.3"/>
  </sheetData>
  <autoFilter ref="C8:J8" xr:uid="{E20FF90B-3125-441B-AF3A-0CC7BB1CA0DC}"/>
  <mergeCells count="38">
    <mergeCell ref="AA24:AA34"/>
    <mergeCell ref="D2:D4"/>
    <mergeCell ref="E2:J4"/>
    <mergeCell ref="A5:J6"/>
    <mergeCell ref="A2:C4"/>
    <mergeCell ref="L4:P4"/>
    <mergeCell ref="X21:X22"/>
    <mergeCell ref="AD13:AD34"/>
    <mergeCell ref="AC29:AC34"/>
    <mergeCell ref="W30:W31"/>
    <mergeCell ref="X30:X31"/>
    <mergeCell ref="Y30:Y34"/>
    <mergeCell ref="Z30:Z34"/>
    <mergeCell ref="W33:W34"/>
    <mergeCell ref="X33:X34"/>
    <mergeCell ref="AB24:AB34"/>
    <mergeCell ref="AA12:AA22"/>
    <mergeCell ref="AB12:AB22"/>
    <mergeCell ref="W24:W25"/>
    <mergeCell ref="X24:X25"/>
    <mergeCell ref="Y24:Y28"/>
    <mergeCell ref="Z24:Z28"/>
    <mergeCell ref="L8:P8"/>
    <mergeCell ref="AC13:AC18"/>
    <mergeCell ref="W15:W16"/>
    <mergeCell ref="X15:X16"/>
    <mergeCell ref="W18:W19"/>
    <mergeCell ref="X18:X19"/>
    <mergeCell ref="Y18:Y22"/>
    <mergeCell ref="Z18:Z22"/>
    <mergeCell ref="AC19:AC28"/>
    <mergeCell ref="W21:W22"/>
    <mergeCell ref="W12:W13"/>
    <mergeCell ref="X12:X13"/>
    <mergeCell ref="Y12:Y16"/>
    <mergeCell ref="Z12:Z16"/>
    <mergeCell ref="W27:W28"/>
    <mergeCell ref="X27:X28"/>
  </mergeCells>
  <pageMargins left="1.1811023622047245" right="0" top="0.39370078740157483" bottom="0.39370078740157483" header="0.31496062992125984" footer="0.31496062992125984"/>
  <pageSetup paperSize="3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D21-8792-4AB6-93DA-A658F69F27CB}">
  <sheetPr>
    <pageSetUpPr fitToPage="1"/>
  </sheetPr>
  <dimension ref="A1:W52"/>
  <sheetViews>
    <sheetView zoomScale="85" zoomScaleNormal="85" zoomScaleSheetLayoutView="100" workbookViewId="0">
      <selection activeCell="O4" sqref="O4"/>
    </sheetView>
  </sheetViews>
  <sheetFormatPr baseColWidth="10" defaultColWidth="8.88671875" defaultRowHeight="14.4" x14ac:dyDescent="0.3"/>
  <cols>
    <col min="1" max="1" width="3" bestFit="1" customWidth="1"/>
    <col min="2" max="2" width="30.6640625" customWidth="1"/>
    <col min="3" max="3" width="18.33203125" style="12" bestFit="1" customWidth="1"/>
    <col min="4" max="4" width="8.44140625" style="3" bestFit="1" customWidth="1"/>
    <col min="5" max="5" width="5.5546875" style="3" bestFit="1" customWidth="1"/>
    <col min="6" max="6" width="5.5546875" style="3" customWidth="1"/>
    <col min="7" max="7" width="5" bestFit="1" customWidth="1"/>
    <col min="8" max="8" width="4.88671875" bestFit="1" customWidth="1"/>
    <col min="9" max="9" width="10.88671875" bestFit="1" customWidth="1"/>
    <col min="10" max="10" width="1.88671875" customWidth="1"/>
    <col min="11" max="11" width="10.88671875" customWidth="1"/>
    <col min="13" max="13" width="3" bestFit="1" customWidth="1"/>
    <col min="14" max="14" width="17.6640625" bestFit="1" customWidth="1"/>
    <col min="15" max="15" width="4.6640625" style="189" bestFit="1" customWidth="1"/>
    <col min="16" max="16" width="18.88671875" bestFit="1" customWidth="1"/>
    <col min="17" max="17" width="4.6640625" style="187" bestFit="1" customWidth="1"/>
    <col min="18" max="18" width="17.88671875" bestFit="1" customWidth="1"/>
    <col min="19" max="19" width="4.6640625" bestFit="1" customWidth="1"/>
    <col min="20" max="20" width="23.6640625" customWidth="1"/>
    <col min="21" max="21" width="4.6640625" bestFit="1" customWidth="1"/>
    <col min="22" max="22" width="27.6640625" customWidth="1"/>
  </cols>
  <sheetData>
    <row r="1" spans="1:23" s="1" customFormat="1" ht="21" thickBot="1" x14ac:dyDescent="0.35">
      <c r="B1" s="21" t="s">
        <v>0</v>
      </c>
      <c r="C1" s="21" t="s">
        <v>1</v>
      </c>
      <c r="D1" s="22" t="s">
        <v>2</v>
      </c>
      <c r="E1" s="22" t="s">
        <v>3</v>
      </c>
      <c r="F1" s="165" t="s">
        <v>4</v>
      </c>
      <c r="G1" s="21" t="s">
        <v>5</v>
      </c>
      <c r="H1" s="21" t="s">
        <v>6</v>
      </c>
      <c r="I1" s="21" t="s">
        <v>7</v>
      </c>
      <c r="J1" s="210"/>
      <c r="K1" s="21"/>
      <c r="O1" s="188"/>
      <c r="Q1" s="201"/>
    </row>
    <row r="2" spans="1:23" ht="18" customHeight="1" x14ac:dyDescent="0.35">
      <c r="A2" s="4">
        <v>1</v>
      </c>
      <c r="B2" s="158" t="s">
        <v>8</v>
      </c>
      <c r="C2" s="159" t="s">
        <v>9</v>
      </c>
      <c r="D2" s="162">
        <v>4</v>
      </c>
      <c r="E2" s="162">
        <v>4</v>
      </c>
      <c r="F2" s="166">
        <v>0</v>
      </c>
      <c r="G2" s="162">
        <f>20+20</f>
        <v>40</v>
      </c>
      <c r="H2" s="162">
        <f>6+7+11+11</f>
        <v>35</v>
      </c>
      <c r="I2" s="180">
        <f t="shared" ref="I2:I19" si="0">G2/H2</f>
        <v>1.1428571428571428</v>
      </c>
      <c r="J2" s="210"/>
      <c r="K2" s="208"/>
      <c r="N2" s="192">
        <v>16</v>
      </c>
      <c r="O2" s="190"/>
      <c r="P2" s="194">
        <v>8</v>
      </c>
      <c r="R2" s="196">
        <v>4</v>
      </c>
      <c r="S2" s="187"/>
      <c r="T2" s="198">
        <v>2</v>
      </c>
    </row>
    <row r="3" spans="1:23" ht="18" customHeight="1" thickBot="1" x14ac:dyDescent="0.6">
      <c r="A3" s="4">
        <f>A2+1</f>
        <v>2</v>
      </c>
      <c r="B3" s="158" t="s">
        <v>10</v>
      </c>
      <c r="C3" s="159" t="s">
        <v>11</v>
      </c>
      <c r="D3" s="162">
        <v>4</v>
      </c>
      <c r="E3" s="162">
        <v>4</v>
      </c>
      <c r="F3" s="166">
        <v>0</v>
      </c>
      <c r="G3" s="162">
        <f>16+19</f>
        <v>35</v>
      </c>
      <c r="H3" s="162">
        <f>39+9</f>
        <v>48</v>
      </c>
      <c r="I3" s="180">
        <f t="shared" si="0"/>
        <v>0.72916666666666663</v>
      </c>
      <c r="J3" s="210"/>
      <c r="K3" s="208"/>
      <c r="N3" s="193" t="s">
        <v>30</v>
      </c>
      <c r="O3" s="191" t="s">
        <v>31</v>
      </c>
      <c r="P3" s="195" t="s">
        <v>30</v>
      </c>
      <c r="Q3" s="22" t="s">
        <v>31</v>
      </c>
      <c r="R3" s="197" t="s">
        <v>30</v>
      </c>
      <c r="S3" s="22" t="s">
        <v>31</v>
      </c>
      <c r="T3" s="199" t="s">
        <v>30</v>
      </c>
      <c r="U3" s="22" t="s">
        <v>31</v>
      </c>
    </row>
    <row r="4" spans="1:23" ht="18" customHeight="1" thickBot="1" x14ac:dyDescent="0.4">
      <c r="A4" s="4">
        <f t="shared" ref="A4:A19" si="1">A3+1</f>
        <v>3</v>
      </c>
      <c r="B4" s="158" t="s">
        <v>12</v>
      </c>
      <c r="C4" s="159" t="s">
        <v>9</v>
      </c>
      <c r="D4" s="162">
        <v>4</v>
      </c>
      <c r="E4" s="162">
        <v>4</v>
      </c>
      <c r="F4" s="166">
        <v>0</v>
      </c>
      <c r="G4" s="162">
        <f>6+10+9+8</f>
        <v>33</v>
      </c>
      <c r="H4" s="162">
        <f>26+13+10</f>
        <v>49</v>
      </c>
      <c r="I4" s="180">
        <f t="shared" si="0"/>
        <v>0.67346938775510201</v>
      </c>
      <c r="J4" s="210"/>
      <c r="K4" s="208"/>
      <c r="M4" s="182">
        <v>1</v>
      </c>
      <c r="N4" s="182" t="str">
        <f>B2</f>
        <v>JORGE CUMBAL</v>
      </c>
      <c r="O4" s="206">
        <v>2</v>
      </c>
      <c r="P4" s="333" t="str">
        <f>IF(O4&gt;O5,N4,N5)</f>
        <v>JORGE CUMBAL</v>
      </c>
      <c r="Q4" s="327">
        <v>2</v>
      </c>
      <c r="R4" s="383" t="str">
        <f>IF(Q4&gt;Q7,P4,P7)</f>
        <v>JORGE CUMBAL</v>
      </c>
      <c r="S4" s="331">
        <v>2</v>
      </c>
      <c r="T4" s="324" t="str">
        <f>IF(S4&gt;S10,R4,R10)</f>
        <v>JORGE CUMBAL</v>
      </c>
      <c r="U4" s="344">
        <v>2</v>
      </c>
      <c r="W4" s="382" t="s">
        <v>32</v>
      </c>
    </row>
    <row r="5" spans="1:23" ht="18" customHeight="1" x14ac:dyDescent="0.35">
      <c r="A5" s="160">
        <f t="shared" si="1"/>
        <v>4</v>
      </c>
      <c r="B5" s="158" t="s">
        <v>13</v>
      </c>
      <c r="C5" s="159" t="s">
        <v>9</v>
      </c>
      <c r="D5" s="162">
        <v>4</v>
      </c>
      <c r="E5" s="162">
        <v>4</v>
      </c>
      <c r="F5" s="166">
        <v>0</v>
      </c>
      <c r="G5" s="162">
        <f>13+13</f>
        <v>26</v>
      </c>
      <c r="H5" s="162">
        <f>26+26</f>
        <v>52</v>
      </c>
      <c r="I5" s="180">
        <f t="shared" si="0"/>
        <v>0.5</v>
      </c>
      <c r="J5" s="210"/>
      <c r="K5" s="208"/>
      <c r="M5" s="183">
        <v>16</v>
      </c>
      <c r="N5" s="186" t="str">
        <f>B17</f>
        <v>ANDRES BEDOYA</v>
      </c>
      <c r="O5" s="206">
        <v>0</v>
      </c>
      <c r="P5" s="333"/>
      <c r="Q5" s="327"/>
      <c r="R5" s="384"/>
      <c r="S5" s="331"/>
      <c r="T5" s="325"/>
      <c r="U5" s="344"/>
      <c r="V5" s="324"/>
      <c r="W5" s="382"/>
    </row>
    <row r="6" spans="1:23" ht="18" customHeight="1" x14ac:dyDescent="0.35">
      <c r="A6" s="160">
        <f t="shared" si="1"/>
        <v>5</v>
      </c>
      <c r="B6" s="158" t="s">
        <v>14</v>
      </c>
      <c r="C6" s="159" t="s">
        <v>11</v>
      </c>
      <c r="D6" s="162">
        <v>4</v>
      </c>
      <c r="E6" s="162">
        <v>4</v>
      </c>
      <c r="F6" s="166">
        <v>-1</v>
      </c>
      <c r="G6" s="162">
        <f>19+25+19</f>
        <v>63</v>
      </c>
      <c r="H6" s="162">
        <f>13+9+36</f>
        <v>58</v>
      </c>
      <c r="I6" s="180">
        <f t="shared" si="0"/>
        <v>1.0862068965517242</v>
      </c>
      <c r="J6" s="210"/>
      <c r="K6" s="208"/>
      <c r="O6" s="207"/>
      <c r="Q6" s="204"/>
      <c r="R6" s="384"/>
      <c r="S6" s="331"/>
      <c r="T6" s="325"/>
      <c r="U6" s="344"/>
      <c r="V6" s="325"/>
      <c r="W6" s="382"/>
    </row>
    <row r="7" spans="1:23" ht="18" customHeight="1" x14ac:dyDescent="0.35">
      <c r="A7" s="160">
        <f t="shared" si="1"/>
        <v>6</v>
      </c>
      <c r="B7" s="158" t="s">
        <v>15</v>
      </c>
      <c r="C7" s="159" t="s">
        <v>16</v>
      </c>
      <c r="D7" s="162">
        <v>4</v>
      </c>
      <c r="E7" s="162">
        <v>4</v>
      </c>
      <c r="F7" s="166">
        <v>-1</v>
      </c>
      <c r="G7" s="162">
        <f>10+5+10+8+10</f>
        <v>43</v>
      </c>
      <c r="H7" s="162">
        <f>3+13+9+10+9</f>
        <v>44</v>
      </c>
      <c r="I7" s="180">
        <f t="shared" si="0"/>
        <v>0.97727272727272729</v>
      </c>
      <c r="J7" s="210"/>
      <c r="K7" s="208"/>
      <c r="M7" s="182">
        <v>5</v>
      </c>
      <c r="N7" s="182" t="str">
        <f>B6</f>
        <v>JUANCHO PAZMIÑO</v>
      </c>
      <c r="O7" s="206">
        <v>0</v>
      </c>
      <c r="P7" s="326" t="str">
        <f>IF(O7&gt;O8,N7,N8)</f>
        <v>JHON ACOSTA</v>
      </c>
      <c r="Q7" s="327">
        <v>0</v>
      </c>
      <c r="R7" s="384"/>
      <c r="S7" s="331"/>
      <c r="T7" s="325"/>
      <c r="U7" s="344"/>
      <c r="V7" s="325"/>
      <c r="W7" s="382"/>
    </row>
    <row r="8" spans="1:23" ht="18" customHeight="1" x14ac:dyDescent="0.35">
      <c r="A8" s="160">
        <f t="shared" si="1"/>
        <v>7</v>
      </c>
      <c r="B8" s="158" t="s">
        <v>17</v>
      </c>
      <c r="C8" s="159" t="s">
        <v>18</v>
      </c>
      <c r="D8" s="162">
        <v>4</v>
      </c>
      <c r="E8" s="162">
        <v>4</v>
      </c>
      <c r="F8" s="166">
        <v>-1</v>
      </c>
      <c r="G8" s="162">
        <f>18+13</f>
        <v>31</v>
      </c>
      <c r="H8" s="162">
        <f>26+39</f>
        <v>65</v>
      </c>
      <c r="I8" s="180">
        <f t="shared" si="0"/>
        <v>0.47692307692307695</v>
      </c>
      <c r="J8" s="210"/>
      <c r="K8" s="208"/>
      <c r="M8" s="183">
        <v>12</v>
      </c>
      <c r="N8" s="183" t="str">
        <f>B13</f>
        <v>JHON ACOSTA</v>
      </c>
      <c r="O8" s="206">
        <v>2</v>
      </c>
      <c r="P8" s="326"/>
      <c r="Q8" s="327"/>
      <c r="R8" s="385"/>
      <c r="S8" s="331"/>
      <c r="T8" s="325"/>
      <c r="U8" s="344"/>
      <c r="V8" s="325"/>
      <c r="W8" s="382"/>
    </row>
    <row r="9" spans="1:23" ht="18" customHeight="1" x14ac:dyDescent="0.35">
      <c r="A9" s="160">
        <f t="shared" si="1"/>
        <v>8</v>
      </c>
      <c r="B9" s="168" t="s">
        <v>19</v>
      </c>
      <c r="C9" s="159" t="s">
        <v>16</v>
      </c>
      <c r="D9" s="162">
        <v>4</v>
      </c>
      <c r="E9" s="162">
        <v>4</v>
      </c>
      <c r="F9" s="166">
        <v>-1</v>
      </c>
      <c r="G9" s="162">
        <f>19+7</f>
        <v>26</v>
      </c>
      <c r="H9" s="162">
        <f>26+39</f>
        <v>65</v>
      </c>
      <c r="I9" s="180">
        <f t="shared" si="0"/>
        <v>0.4</v>
      </c>
      <c r="J9" s="210"/>
      <c r="K9" s="208"/>
      <c r="O9" s="207"/>
      <c r="Q9" s="202"/>
      <c r="S9" s="205"/>
      <c r="T9" s="325"/>
      <c r="U9" s="344"/>
      <c r="V9" s="325"/>
      <c r="W9" s="382"/>
    </row>
    <row r="10" spans="1:23" ht="18" customHeight="1" x14ac:dyDescent="0.35">
      <c r="A10" s="160">
        <f t="shared" si="1"/>
        <v>9</v>
      </c>
      <c r="B10" s="168" t="s">
        <v>20</v>
      </c>
      <c r="C10" s="159" t="s">
        <v>9</v>
      </c>
      <c r="D10" s="162">
        <v>4</v>
      </c>
      <c r="E10" s="162">
        <v>2</v>
      </c>
      <c r="F10" s="166">
        <v>-1</v>
      </c>
      <c r="G10" s="162">
        <f>4+3+5</f>
        <v>12</v>
      </c>
      <c r="H10" s="162">
        <v>39</v>
      </c>
      <c r="I10" s="180">
        <f t="shared" si="0"/>
        <v>0.30769230769230771</v>
      </c>
      <c r="J10" s="210"/>
      <c r="K10" s="208"/>
      <c r="M10" s="182">
        <v>7</v>
      </c>
      <c r="N10" s="182" t="str">
        <f>B8</f>
        <v>MIGUEL BEDOYA</v>
      </c>
      <c r="O10" s="206">
        <v>0</v>
      </c>
      <c r="P10" s="326" t="str">
        <f>IF(O10&gt;O11,N10,N11)</f>
        <v>JORGE HERNANDEZ</v>
      </c>
      <c r="Q10" s="327">
        <v>2</v>
      </c>
      <c r="R10" s="383" t="str">
        <f>IF(Q10&gt;Q13,P10,P13)</f>
        <v>JORGE HERNANDEZ</v>
      </c>
      <c r="S10" s="331">
        <v>0</v>
      </c>
      <c r="T10" s="325"/>
      <c r="U10" s="344"/>
      <c r="V10" s="325"/>
      <c r="W10" s="382"/>
    </row>
    <row r="11" spans="1:23" ht="18" customHeight="1" x14ac:dyDescent="0.35">
      <c r="A11" s="160">
        <f t="shared" si="1"/>
        <v>10</v>
      </c>
      <c r="B11" s="169" t="s">
        <v>21</v>
      </c>
      <c r="C11" s="170" t="s">
        <v>11</v>
      </c>
      <c r="D11" s="171">
        <v>2</v>
      </c>
      <c r="E11" s="172">
        <v>3</v>
      </c>
      <c r="F11" s="173">
        <v>-2</v>
      </c>
      <c r="G11" s="171">
        <f>4+27</f>
        <v>31</v>
      </c>
      <c r="H11" s="171">
        <f>38+12</f>
        <v>50</v>
      </c>
      <c r="I11" s="181">
        <f t="shared" si="0"/>
        <v>0.62</v>
      </c>
      <c r="J11" s="210"/>
      <c r="K11" s="209"/>
      <c r="M11" s="183">
        <v>10</v>
      </c>
      <c r="N11" s="183" t="str">
        <f>B11</f>
        <v>JORGE HERNANDEZ</v>
      </c>
      <c r="O11" s="206">
        <v>2</v>
      </c>
      <c r="P11" s="326"/>
      <c r="Q11" s="327"/>
      <c r="R11" s="384"/>
      <c r="S11" s="331"/>
      <c r="T11" s="325"/>
      <c r="U11" s="344"/>
      <c r="V11" s="332" t="str">
        <f>IF(U4&gt;U16,T4,T16)</f>
        <v>JORGE CUMBAL</v>
      </c>
      <c r="W11" s="382"/>
    </row>
    <row r="12" spans="1:23" ht="18" customHeight="1" x14ac:dyDescent="0.35">
      <c r="A12" s="160">
        <f t="shared" si="1"/>
        <v>11</v>
      </c>
      <c r="B12" s="169" t="s">
        <v>22</v>
      </c>
      <c r="C12" s="170" t="s">
        <v>11</v>
      </c>
      <c r="D12" s="171">
        <v>2</v>
      </c>
      <c r="E12" s="171">
        <v>2</v>
      </c>
      <c r="F12" s="173">
        <v>-2</v>
      </c>
      <c r="G12" s="171">
        <f>9+10+3</f>
        <v>22</v>
      </c>
      <c r="H12" s="171">
        <f>25+16</f>
        <v>41</v>
      </c>
      <c r="I12" s="181">
        <f t="shared" si="0"/>
        <v>0.53658536585365857</v>
      </c>
      <c r="J12" s="210"/>
      <c r="K12" s="209"/>
      <c r="O12" s="207"/>
      <c r="Q12" s="204"/>
      <c r="R12" s="384"/>
      <c r="S12" s="331"/>
      <c r="T12" s="325"/>
      <c r="U12" s="344"/>
      <c r="V12" s="332"/>
      <c r="W12" s="382"/>
    </row>
    <row r="13" spans="1:23" ht="18" customHeight="1" x14ac:dyDescent="0.35">
      <c r="A13" s="160">
        <f t="shared" si="1"/>
        <v>12</v>
      </c>
      <c r="B13" s="169" t="s">
        <v>23</v>
      </c>
      <c r="C13" s="170" t="s">
        <v>16</v>
      </c>
      <c r="D13" s="171">
        <v>2</v>
      </c>
      <c r="E13" s="172">
        <v>2</v>
      </c>
      <c r="F13" s="173">
        <v>-2</v>
      </c>
      <c r="G13" s="171">
        <f>11+16</f>
        <v>27</v>
      </c>
      <c r="H13" s="171">
        <f>26+26</f>
        <v>52</v>
      </c>
      <c r="I13" s="181">
        <f t="shared" si="0"/>
        <v>0.51923076923076927</v>
      </c>
      <c r="J13" s="210"/>
      <c r="K13" s="209"/>
      <c r="M13" s="182">
        <v>4</v>
      </c>
      <c r="N13" s="182" t="str">
        <f>B5</f>
        <v>EDWIN LOPEZ</v>
      </c>
      <c r="O13" s="206">
        <v>2</v>
      </c>
      <c r="P13" s="333" t="str">
        <f>IF(O13&gt;O14,N13,N14)</f>
        <v>EDWIN LOPEZ</v>
      </c>
      <c r="Q13" s="327">
        <v>0</v>
      </c>
      <c r="R13" s="384"/>
      <c r="S13" s="331"/>
      <c r="T13" s="325"/>
      <c r="U13" s="344"/>
      <c r="V13" s="332"/>
      <c r="W13" s="382"/>
    </row>
    <row r="14" spans="1:23" ht="18" customHeight="1" thickBot="1" x14ac:dyDescent="0.4">
      <c r="A14" s="160">
        <f t="shared" si="1"/>
        <v>13</v>
      </c>
      <c r="B14" s="169" t="s">
        <v>24</v>
      </c>
      <c r="C14" s="170" t="s">
        <v>16</v>
      </c>
      <c r="D14" s="171">
        <v>2</v>
      </c>
      <c r="E14" s="172">
        <v>3</v>
      </c>
      <c r="F14" s="173">
        <v>-2</v>
      </c>
      <c r="G14" s="171">
        <f>5+5+6+2+10</f>
        <v>28</v>
      </c>
      <c r="H14" s="171">
        <f>13+13+12+8+13</f>
        <v>59</v>
      </c>
      <c r="I14" s="181">
        <f t="shared" si="0"/>
        <v>0.47457627118644069</v>
      </c>
      <c r="J14" s="210"/>
      <c r="K14" s="209"/>
      <c r="M14" s="183">
        <v>13</v>
      </c>
      <c r="N14" s="183" t="str">
        <f>B14</f>
        <v>PABLO GETIAL</v>
      </c>
      <c r="O14" s="206">
        <v>0</v>
      </c>
      <c r="P14" s="333"/>
      <c r="Q14" s="327"/>
      <c r="R14" s="385"/>
      <c r="S14" s="331"/>
      <c r="T14" s="378"/>
      <c r="U14" s="344"/>
      <c r="V14" s="332"/>
      <c r="W14" s="382"/>
    </row>
    <row r="15" spans="1:23" ht="18" customHeight="1" thickBot="1" x14ac:dyDescent="0.4">
      <c r="A15" s="160">
        <f t="shared" si="1"/>
        <v>14</v>
      </c>
      <c r="B15" s="169" t="s">
        <v>25</v>
      </c>
      <c r="C15" s="170" t="s">
        <v>9</v>
      </c>
      <c r="D15" s="171">
        <v>2</v>
      </c>
      <c r="E15" s="172">
        <v>2</v>
      </c>
      <c r="F15" s="173">
        <v>-2</v>
      </c>
      <c r="G15" s="171">
        <f>15+5</f>
        <v>20</v>
      </c>
      <c r="H15" s="171">
        <f>26+26</f>
        <v>52</v>
      </c>
      <c r="I15" s="181">
        <f t="shared" si="0"/>
        <v>0.38461538461538464</v>
      </c>
      <c r="J15" s="210"/>
      <c r="K15" s="209"/>
      <c r="O15" s="207"/>
      <c r="Q15" s="202"/>
      <c r="S15" s="200"/>
      <c r="U15" s="185"/>
      <c r="V15" s="332"/>
      <c r="W15" s="382"/>
    </row>
    <row r="16" spans="1:23" ht="18" customHeight="1" x14ac:dyDescent="0.35">
      <c r="A16" s="160">
        <f t="shared" si="1"/>
        <v>15</v>
      </c>
      <c r="B16" s="169" t="s">
        <v>26</v>
      </c>
      <c r="C16" s="170" t="s">
        <v>9</v>
      </c>
      <c r="D16" s="171">
        <v>2</v>
      </c>
      <c r="E16" s="172">
        <v>2</v>
      </c>
      <c r="F16" s="173">
        <v>-3</v>
      </c>
      <c r="G16" s="171">
        <f>20+20</f>
        <v>40</v>
      </c>
      <c r="H16" s="171">
        <f>39+35</f>
        <v>74</v>
      </c>
      <c r="I16" s="181">
        <f t="shared" si="0"/>
        <v>0.54054054054054057</v>
      </c>
      <c r="J16" s="210"/>
      <c r="K16" s="209"/>
      <c r="M16" s="182">
        <v>2</v>
      </c>
      <c r="N16" s="182" t="str">
        <f>B3</f>
        <v>EDGAR PAZMIÑO</v>
      </c>
      <c r="O16" s="206">
        <v>2</v>
      </c>
      <c r="P16" s="333" t="str">
        <f>IF(O16&gt;O17,N16,N17)</f>
        <v>EDGAR PAZMIÑO</v>
      </c>
      <c r="Q16" s="327">
        <v>2</v>
      </c>
      <c r="R16" s="383" t="str">
        <f>IF(Q16&gt;Q19,P16,P19)</f>
        <v>EDGAR PAZMIÑO</v>
      </c>
      <c r="S16" s="331">
        <v>0</v>
      </c>
      <c r="T16" s="379" t="str">
        <f>IF(S16&gt;S22,R16,R22)</f>
        <v>CRISTIAN GUANCHA</v>
      </c>
      <c r="U16" s="344">
        <v>0</v>
      </c>
      <c r="V16" s="332"/>
      <c r="W16" s="382"/>
    </row>
    <row r="17" spans="1:23" ht="18" customHeight="1" x14ac:dyDescent="0.35">
      <c r="A17" s="160">
        <f t="shared" si="1"/>
        <v>16</v>
      </c>
      <c r="B17" s="169" t="s">
        <v>27</v>
      </c>
      <c r="C17" s="170" t="s">
        <v>11</v>
      </c>
      <c r="D17" s="171">
        <v>2</v>
      </c>
      <c r="E17" s="171">
        <v>2</v>
      </c>
      <c r="F17" s="173">
        <v>-3</v>
      </c>
      <c r="G17" s="171">
        <f>5+3+2+9+8</f>
        <v>27</v>
      </c>
      <c r="H17" s="171">
        <f>39+13+10</f>
        <v>62</v>
      </c>
      <c r="I17" s="181">
        <f t="shared" si="0"/>
        <v>0.43548387096774194</v>
      </c>
      <c r="J17" s="210"/>
      <c r="K17" s="209"/>
      <c r="M17" s="183">
        <v>15</v>
      </c>
      <c r="N17" s="186" t="str">
        <f>B16</f>
        <v>LESTER LEON</v>
      </c>
      <c r="O17" s="206">
        <v>0</v>
      </c>
      <c r="P17" s="333"/>
      <c r="Q17" s="327"/>
      <c r="R17" s="384"/>
      <c r="S17" s="331"/>
      <c r="T17" s="380"/>
      <c r="U17" s="344"/>
      <c r="V17" s="332"/>
      <c r="W17" s="382"/>
    </row>
    <row r="18" spans="1:23" ht="18" customHeight="1" x14ac:dyDescent="0.35">
      <c r="A18" s="160">
        <f t="shared" si="1"/>
        <v>17</v>
      </c>
      <c r="B18" s="169" t="s">
        <v>28</v>
      </c>
      <c r="C18" s="170" t="s">
        <v>16</v>
      </c>
      <c r="D18" s="171">
        <v>2</v>
      </c>
      <c r="E18" s="172">
        <v>3</v>
      </c>
      <c r="F18" s="173">
        <v>-3</v>
      </c>
      <c r="G18" s="171">
        <f>15+16</f>
        <v>31</v>
      </c>
      <c r="H18" s="171">
        <f>39+39</f>
        <v>78</v>
      </c>
      <c r="I18" s="181">
        <f t="shared" si="0"/>
        <v>0.39743589743589741</v>
      </c>
      <c r="J18" s="210"/>
      <c r="K18" s="209"/>
      <c r="O18" s="207"/>
      <c r="Q18" s="204"/>
      <c r="R18" s="384"/>
      <c r="S18" s="331"/>
      <c r="T18" s="380"/>
      <c r="U18" s="344"/>
      <c r="V18" s="332"/>
      <c r="W18" s="382"/>
    </row>
    <row r="19" spans="1:23" ht="18.600000000000001" customHeight="1" x14ac:dyDescent="0.35">
      <c r="A19" s="160">
        <f t="shared" si="1"/>
        <v>18</v>
      </c>
      <c r="B19" s="169" t="s">
        <v>29</v>
      </c>
      <c r="C19" s="170" t="s">
        <v>18</v>
      </c>
      <c r="D19" s="171">
        <v>2</v>
      </c>
      <c r="E19" s="172">
        <v>2</v>
      </c>
      <c r="F19" s="173">
        <v>-3</v>
      </c>
      <c r="G19" s="171">
        <f>3+8+7+2+4+3</f>
        <v>27</v>
      </c>
      <c r="H19" s="171">
        <f>39+39</f>
        <v>78</v>
      </c>
      <c r="I19" s="181">
        <f t="shared" si="0"/>
        <v>0.34615384615384615</v>
      </c>
      <c r="J19" s="210"/>
      <c r="K19" s="209"/>
      <c r="M19" s="182">
        <v>6</v>
      </c>
      <c r="N19" s="182" t="str">
        <f>B7</f>
        <v>GABRIEL ORTIZ</v>
      </c>
      <c r="O19" s="206">
        <v>2</v>
      </c>
      <c r="P19" s="333" t="str">
        <f>IF(O19&gt;O20,N19,N20)</f>
        <v>GABRIEL ORTIZ</v>
      </c>
      <c r="Q19" s="327">
        <v>0</v>
      </c>
      <c r="R19" s="384"/>
      <c r="S19" s="331"/>
      <c r="T19" s="380"/>
      <c r="U19" s="344"/>
      <c r="V19" s="332"/>
      <c r="W19" s="382"/>
    </row>
    <row r="20" spans="1:23" ht="18" customHeight="1" x14ac:dyDescent="0.35">
      <c r="J20" s="210"/>
      <c r="M20" s="183">
        <v>11</v>
      </c>
      <c r="N20" s="184" t="str">
        <f>B12</f>
        <v>RAMIRO MAFLA</v>
      </c>
      <c r="O20" s="206">
        <v>0</v>
      </c>
      <c r="P20" s="333"/>
      <c r="Q20" s="327"/>
      <c r="R20" s="385"/>
      <c r="S20" s="331"/>
      <c r="T20" s="380"/>
      <c r="U20" s="344"/>
      <c r="V20" s="332"/>
      <c r="W20" s="382"/>
    </row>
    <row r="21" spans="1:23" ht="18" customHeight="1" x14ac:dyDescent="0.35">
      <c r="O21" s="207"/>
      <c r="Q21" s="202"/>
      <c r="S21" s="205"/>
      <c r="T21" s="380"/>
      <c r="U21" s="344"/>
      <c r="V21" s="339" t="s">
        <v>9</v>
      </c>
      <c r="W21" s="382"/>
    </row>
    <row r="22" spans="1:23" ht="14.4" customHeight="1" x14ac:dyDescent="0.35">
      <c r="M22" s="182">
        <v>8</v>
      </c>
      <c r="N22" s="182" t="str">
        <f>B9</f>
        <v>JHON QUENGUAN</v>
      </c>
      <c r="O22" s="206">
        <v>2</v>
      </c>
      <c r="P22" s="333" t="str">
        <f>IF(O22&gt;O23,N22,N23)</f>
        <v>JHON QUENGUAN</v>
      </c>
      <c r="Q22" s="327">
        <v>0</v>
      </c>
      <c r="R22" s="383" t="str">
        <f>IF(Q22&gt;Q25,P22,P25)</f>
        <v>CRISTIAN GUANCHA</v>
      </c>
      <c r="S22" s="331">
        <v>2</v>
      </c>
      <c r="T22" s="380"/>
      <c r="U22" s="344"/>
      <c r="V22" s="339"/>
      <c r="W22" s="382"/>
    </row>
    <row r="23" spans="1:23" ht="14.4" customHeight="1" x14ac:dyDescent="0.35">
      <c r="M23" s="183">
        <v>9</v>
      </c>
      <c r="N23" s="183" t="str">
        <f>B10</f>
        <v xml:space="preserve">ESTEBAN AYALA </v>
      </c>
      <c r="O23" s="206">
        <v>0</v>
      </c>
      <c r="P23" s="333"/>
      <c r="Q23" s="327"/>
      <c r="R23" s="384"/>
      <c r="S23" s="331"/>
      <c r="T23" s="380"/>
      <c r="U23" s="344"/>
      <c r="V23" s="339"/>
      <c r="W23" s="382"/>
    </row>
    <row r="24" spans="1:23" ht="16.95" customHeight="1" x14ac:dyDescent="0.35">
      <c r="O24" s="207"/>
      <c r="Q24" s="204"/>
      <c r="R24" s="384"/>
      <c r="S24" s="331"/>
      <c r="T24" s="380"/>
      <c r="U24" s="344"/>
      <c r="V24" s="339"/>
      <c r="W24" s="382"/>
    </row>
    <row r="25" spans="1:23" ht="14.4" customHeight="1" x14ac:dyDescent="0.35">
      <c r="G25" s="203"/>
      <c r="M25" s="182">
        <v>3</v>
      </c>
      <c r="N25" s="182" t="str">
        <f>B4</f>
        <v>CRISTIAN GUANCHA</v>
      </c>
      <c r="O25" s="206">
        <v>2</v>
      </c>
      <c r="P25" s="333" t="str">
        <f>IF(O25&gt;O26,N25,N26)</f>
        <v>CRISTIAN GUANCHA</v>
      </c>
      <c r="Q25" s="327">
        <v>2</v>
      </c>
      <c r="R25" s="384"/>
      <c r="S25" s="331"/>
      <c r="T25" s="380"/>
      <c r="U25" s="344"/>
      <c r="V25" s="339"/>
      <c r="W25" s="382"/>
    </row>
    <row r="26" spans="1:23" ht="14.4" customHeight="1" thickBot="1" x14ac:dyDescent="0.4">
      <c r="M26" s="183">
        <v>14</v>
      </c>
      <c r="N26" s="183" t="str">
        <f>B15</f>
        <v>CRISTIAN SALAZAR</v>
      </c>
      <c r="O26" s="206">
        <v>0</v>
      </c>
      <c r="P26" s="333"/>
      <c r="Q26" s="327"/>
      <c r="R26" s="385"/>
      <c r="S26" s="331"/>
      <c r="T26" s="381"/>
      <c r="U26" s="344"/>
      <c r="V26" s="340"/>
      <c r="W26" s="382"/>
    </row>
    <row r="27" spans="1:23" ht="16.95" customHeight="1" x14ac:dyDescent="0.3"/>
    <row r="28" spans="1:23" ht="14.4" customHeight="1" x14ac:dyDescent="0.3"/>
    <row r="29" spans="1:23" ht="14.4" customHeight="1" x14ac:dyDescent="0.3"/>
    <row r="30" spans="1:23" ht="16.95" customHeight="1" x14ac:dyDescent="0.3"/>
    <row r="31" spans="1:23" ht="14.4" customHeight="1" x14ac:dyDescent="0.3"/>
    <row r="32" spans="1:23" ht="15" customHeight="1" x14ac:dyDescent="0.3"/>
    <row r="33" ht="18.600000000000001" customHeight="1" x14ac:dyDescent="0.3"/>
    <row r="34" ht="14.4" customHeight="1" x14ac:dyDescent="0.3"/>
    <row r="35" ht="14.4" customHeight="1" x14ac:dyDescent="0.3"/>
    <row r="36" ht="16.95" customHeight="1" x14ac:dyDescent="0.3"/>
    <row r="37" ht="14.4" customHeight="1" x14ac:dyDescent="0.3"/>
    <row r="38" ht="14.4" customHeight="1" x14ac:dyDescent="0.3"/>
    <row r="39" ht="16.95" customHeight="1" x14ac:dyDescent="0.3"/>
    <row r="40" ht="14.4" customHeight="1" x14ac:dyDescent="0.3"/>
    <row r="41" ht="14.4" customHeight="1" x14ac:dyDescent="0.3"/>
    <row r="42" ht="16.95" customHeight="1" x14ac:dyDescent="0.3"/>
    <row r="43" ht="14.4" customHeight="1" x14ac:dyDescent="0.3"/>
    <row r="44" ht="15" customHeight="1" x14ac:dyDescent="0.3"/>
    <row r="46" ht="6" customHeight="1" x14ac:dyDescent="0.3"/>
    <row r="49" ht="6" customHeight="1" x14ac:dyDescent="0.3"/>
    <row r="52" ht="6" customHeight="1" x14ac:dyDescent="0.3"/>
  </sheetData>
  <autoFilter ref="B1:I1" xr:uid="{E20FF90B-3125-441B-AF3A-0CC7BB1CA0DC}"/>
  <mergeCells count="32">
    <mergeCell ref="P19:P20"/>
    <mergeCell ref="P22:P23"/>
    <mergeCell ref="P25:P26"/>
    <mergeCell ref="R4:R8"/>
    <mergeCell ref="R10:R14"/>
    <mergeCell ref="R16:R20"/>
    <mergeCell ref="R22:R26"/>
    <mergeCell ref="Q25:Q26"/>
    <mergeCell ref="P4:P5"/>
    <mergeCell ref="P7:P8"/>
    <mergeCell ref="P10:P11"/>
    <mergeCell ref="P16:P17"/>
    <mergeCell ref="P13:P14"/>
    <mergeCell ref="Q19:Q20"/>
    <mergeCell ref="Q22:Q23"/>
    <mergeCell ref="Q4:Q5"/>
    <mergeCell ref="W4:W26"/>
    <mergeCell ref="S4:S8"/>
    <mergeCell ref="S10:S14"/>
    <mergeCell ref="S16:S20"/>
    <mergeCell ref="S22:S26"/>
    <mergeCell ref="V21:V26"/>
    <mergeCell ref="Q7:Q8"/>
    <mergeCell ref="Q10:Q11"/>
    <mergeCell ref="Q13:Q14"/>
    <mergeCell ref="Q16:Q17"/>
    <mergeCell ref="V11:V20"/>
    <mergeCell ref="V5:V10"/>
    <mergeCell ref="U4:U14"/>
    <mergeCell ref="U16:U26"/>
    <mergeCell ref="T4:T14"/>
    <mergeCell ref="T16:T26"/>
  </mergeCells>
  <pageMargins left="0" right="0" top="0.78740157480314965" bottom="0" header="0.31496062992125984" footer="0.31496062992125984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F90B-3125-441B-AF3A-0CC7BB1CA0DC}">
  <sheetPr>
    <pageSetUpPr fitToPage="1"/>
  </sheetPr>
  <dimension ref="A4:AA20"/>
  <sheetViews>
    <sheetView tabSelected="1" zoomScaleNormal="100" zoomScaleSheetLayoutView="100" workbookViewId="0">
      <selection activeCell="B5" sqref="B5:I12"/>
    </sheetView>
  </sheetViews>
  <sheetFormatPr baseColWidth="10" defaultColWidth="8.88671875" defaultRowHeight="14.4" x14ac:dyDescent="0.3"/>
  <cols>
    <col min="1" max="1" width="3" bestFit="1" customWidth="1"/>
    <col min="2" max="2" width="30.6640625" customWidth="1"/>
    <col min="3" max="3" width="18.33203125" style="12" bestFit="1" customWidth="1"/>
    <col min="4" max="4" width="8.44140625" style="3" bestFit="1" customWidth="1"/>
    <col min="5" max="5" width="5.5546875" style="3" bestFit="1" customWidth="1"/>
    <col min="6" max="6" width="5.5546875" style="3" customWidth="1"/>
    <col min="7" max="7" width="5" bestFit="1" customWidth="1"/>
    <col min="8" max="8" width="4.88671875" bestFit="1" customWidth="1"/>
    <col min="9" max="9" width="10.88671875" bestFit="1" customWidth="1"/>
    <col min="10" max="10" width="3.44140625" customWidth="1"/>
    <col min="11" max="11" width="30" bestFit="1" customWidth="1"/>
    <col min="12" max="12" width="18.33203125" bestFit="1" customWidth="1"/>
    <col min="13" max="13" width="8.44140625" bestFit="1" customWidth="1"/>
    <col min="14" max="14" width="8.44140625" customWidth="1"/>
    <col min="15" max="15" width="5.5546875" bestFit="1" customWidth="1"/>
    <col min="16" max="16" width="5" bestFit="1" customWidth="1"/>
    <col min="17" max="17" width="4.88671875" customWidth="1"/>
    <col min="18" max="18" width="10.88671875" bestFit="1" customWidth="1"/>
    <col min="19" max="19" width="3.44140625" customWidth="1"/>
    <col min="20" max="20" width="30" bestFit="1" customWidth="1"/>
    <col min="21" max="21" width="18.33203125" bestFit="1" customWidth="1"/>
    <col min="22" max="22" width="8.44140625" bestFit="1" customWidth="1"/>
    <col min="23" max="23" width="5.5546875" bestFit="1" customWidth="1"/>
    <col min="24" max="24" width="5.5546875" customWidth="1"/>
    <col min="25" max="25" width="5" bestFit="1" customWidth="1"/>
    <col min="26" max="26" width="4.88671875" bestFit="1" customWidth="1"/>
    <col min="27" max="27" width="10.88671875" bestFit="1" customWidth="1"/>
  </cols>
  <sheetData>
    <row r="4" spans="1:27" s="1" customFormat="1" ht="20.399999999999999" x14ac:dyDescent="0.3">
      <c r="B4" s="21" t="s">
        <v>0</v>
      </c>
      <c r="C4" s="21" t="s">
        <v>1</v>
      </c>
      <c r="D4" s="22" t="s">
        <v>2</v>
      </c>
      <c r="E4" s="22" t="s">
        <v>3</v>
      </c>
      <c r="F4" s="165" t="s">
        <v>4</v>
      </c>
      <c r="G4" s="21" t="s">
        <v>5</v>
      </c>
      <c r="H4" s="21" t="s">
        <v>6</v>
      </c>
      <c r="I4" s="21" t="s">
        <v>7</v>
      </c>
      <c r="K4" s="21" t="s">
        <v>0</v>
      </c>
      <c r="L4" s="21" t="s">
        <v>1</v>
      </c>
      <c r="M4" s="22" t="s">
        <v>2</v>
      </c>
      <c r="N4" s="22" t="s">
        <v>3</v>
      </c>
      <c r="O4" s="165" t="s">
        <v>4</v>
      </c>
      <c r="P4" s="21" t="s">
        <v>5</v>
      </c>
      <c r="Q4" s="21" t="s">
        <v>6</v>
      </c>
      <c r="R4" s="21" t="s">
        <v>7</v>
      </c>
      <c r="T4" s="21" t="s">
        <v>0</v>
      </c>
      <c r="U4" s="21" t="s">
        <v>1</v>
      </c>
      <c r="V4" s="22" t="s">
        <v>2</v>
      </c>
      <c r="W4" s="22" t="s">
        <v>3</v>
      </c>
      <c r="X4" s="165" t="s">
        <v>4</v>
      </c>
      <c r="Y4" s="21" t="s">
        <v>5</v>
      </c>
      <c r="Z4" s="21" t="s">
        <v>6</v>
      </c>
      <c r="AA4" s="21" t="s">
        <v>7</v>
      </c>
    </row>
    <row r="5" spans="1:27" ht="21" x14ac:dyDescent="0.35">
      <c r="A5" s="4">
        <v>1</v>
      </c>
      <c r="B5" s="158" t="s">
        <v>15</v>
      </c>
      <c r="C5" s="159" t="s">
        <v>16</v>
      </c>
      <c r="D5" s="232">
        <v>4</v>
      </c>
      <c r="E5" s="162">
        <v>4</v>
      </c>
      <c r="F5" s="166">
        <v>0</v>
      </c>
      <c r="G5" s="162">
        <f>19+15</f>
        <v>34</v>
      </c>
      <c r="H5" s="162">
        <f>20+26</f>
        <v>46</v>
      </c>
      <c r="I5" s="180">
        <f t="shared" ref="I5:I12" si="0">G5/H5</f>
        <v>0.73913043478260865</v>
      </c>
      <c r="K5" s="701" t="s">
        <v>39</v>
      </c>
      <c r="L5" s="702" t="s">
        <v>11</v>
      </c>
      <c r="M5" s="703">
        <v>2</v>
      </c>
      <c r="N5" s="702">
        <v>3</v>
      </c>
      <c r="O5" s="702">
        <v>-2</v>
      </c>
      <c r="P5" s="704">
        <f>9+25</f>
        <v>34</v>
      </c>
      <c r="Q5" s="704">
        <f>20+39</f>
        <v>59</v>
      </c>
      <c r="R5" s="705">
        <f t="shared" ref="R5" si="1">P5/Q5</f>
        <v>0.57627118644067798</v>
      </c>
      <c r="T5" s="174"/>
      <c r="U5" s="175"/>
      <c r="V5" s="176"/>
      <c r="W5" s="178"/>
      <c r="X5" s="179"/>
      <c r="Y5" s="176"/>
      <c r="Z5" s="176"/>
      <c r="AA5" s="177"/>
    </row>
    <row r="6" spans="1:27" ht="21" x14ac:dyDescent="0.35">
      <c r="A6" s="4">
        <f>A5+1</f>
        <v>2</v>
      </c>
      <c r="B6" s="158" t="s">
        <v>14</v>
      </c>
      <c r="C6" s="159" t="s">
        <v>11</v>
      </c>
      <c r="D6" s="232">
        <v>4</v>
      </c>
      <c r="E6" s="700">
        <v>4</v>
      </c>
      <c r="F6" s="166">
        <v>0</v>
      </c>
      <c r="G6" s="162">
        <f>13+19</f>
        <v>32</v>
      </c>
      <c r="H6" s="162">
        <f>26+18</f>
        <v>44</v>
      </c>
      <c r="I6" s="180">
        <f t="shared" si="0"/>
        <v>0.72727272727272729</v>
      </c>
      <c r="K6" s="701" t="s">
        <v>26</v>
      </c>
      <c r="L6" s="702" t="s">
        <v>9</v>
      </c>
      <c r="M6" s="703">
        <v>2</v>
      </c>
      <c r="N6" s="702">
        <v>3</v>
      </c>
      <c r="O6" s="702">
        <v>-2</v>
      </c>
      <c r="P6" s="704">
        <v>29</v>
      </c>
      <c r="Q6" s="704">
        <v>55</v>
      </c>
      <c r="R6" s="705">
        <v>0.52727272727272723</v>
      </c>
      <c r="T6" s="20"/>
      <c r="U6" s="157"/>
      <c r="V6" s="176"/>
      <c r="W6" s="161"/>
      <c r="X6" s="164"/>
      <c r="Y6" s="161"/>
      <c r="Z6" s="161"/>
      <c r="AA6" s="163"/>
    </row>
    <row r="7" spans="1:27" ht="21" x14ac:dyDescent="0.35">
      <c r="A7" s="4">
        <f t="shared" ref="A7:A20" si="2">A6+1</f>
        <v>3</v>
      </c>
      <c r="B7" s="158" t="s">
        <v>8</v>
      </c>
      <c r="C7" s="159" t="s">
        <v>9</v>
      </c>
      <c r="D7" s="232">
        <v>4</v>
      </c>
      <c r="E7" s="700">
        <v>4</v>
      </c>
      <c r="F7" s="166">
        <v>-1</v>
      </c>
      <c r="G7" s="162">
        <f>15+22</f>
        <v>37</v>
      </c>
      <c r="H7" s="162">
        <f>21+22</f>
        <v>43</v>
      </c>
      <c r="I7" s="180">
        <f t="shared" si="0"/>
        <v>0.86046511627906974</v>
      </c>
      <c r="K7" s="701" t="s">
        <v>24</v>
      </c>
      <c r="L7" s="702" t="s">
        <v>16</v>
      </c>
      <c r="M7" s="703">
        <v>2</v>
      </c>
      <c r="N7" s="702">
        <v>3</v>
      </c>
      <c r="O7" s="702">
        <v>-2</v>
      </c>
      <c r="P7" s="704">
        <f>14+15</f>
        <v>29</v>
      </c>
      <c r="Q7" s="704">
        <f>39+26</f>
        <v>65</v>
      </c>
      <c r="R7" s="705">
        <f t="shared" ref="R7:R11" si="3">P7/Q7</f>
        <v>0.44615384615384618</v>
      </c>
      <c r="T7" s="174"/>
      <c r="U7" s="175"/>
      <c r="V7" s="176"/>
      <c r="W7" s="176"/>
      <c r="X7" s="179"/>
      <c r="Y7" s="176"/>
      <c r="Z7" s="176"/>
      <c r="AA7" s="177"/>
    </row>
    <row r="8" spans="1:27" ht="21" x14ac:dyDescent="0.35">
      <c r="A8" s="160">
        <f t="shared" si="2"/>
        <v>4</v>
      </c>
      <c r="B8" s="158" t="s">
        <v>25</v>
      </c>
      <c r="C8" s="159" t="s">
        <v>9</v>
      </c>
      <c r="D8" s="232">
        <v>4</v>
      </c>
      <c r="E8" s="162">
        <v>4</v>
      </c>
      <c r="F8" s="166">
        <v>-1</v>
      </c>
      <c r="G8" s="162">
        <f>11+25</f>
        <v>36</v>
      </c>
      <c r="H8" s="162">
        <f>28+30</f>
        <v>58</v>
      </c>
      <c r="I8" s="180">
        <f t="shared" si="0"/>
        <v>0.62068965517241381</v>
      </c>
      <c r="K8" s="701" t="s">
        <v>122</v>
      </c>
      <c r="L8" s="702" t="s">
        <v>16</v>
      </c>
      <c r="M8" s="703">
        <v>2</v>
      </c>
      <c r="N8" s="702">
        <v>3</v>
      </c>
      <c r="O8" s="702">
        <v>-3</v>
      </c>
      <c r="P8" s="704">
        <f>16+19</f>
        <v>35</v>
      </c>
      <c r="Q8" s="704">
        <f>42+36</f>
        <v>78</v>
      </c>
      <c r="R8" s="705">
        <f t="shared" si="3"/>
        <v>0.44871794871794873</v>
      </c>
      <c r="T8" s="174"/>
      <c r="U8" s="175"/>
      <c r="V8" s="176"/>
      <c r="W8" s="176"/>
      <c r="X8" s="179"/>
      <c r="Y8" s="176"/>
      <c r="Z8" s="176"/>
      <c r="AA8" s="177"/>
    </row>
    <row r="9" spans="1:27" ht="21" x14ac:dyDescent="0.35">
      <c r="A9" s="160">
        <f t="shared" si="2"/>
        <v>5</v>
      </c>
      <c r="B9" s="158" t="s">
        <v>12</v>
      </c>
      <c r="C9" s="159" t="s">
        <v>9</v>
      </c>
      <c r="D9" s="232">
        <v>4</v>
      </c>
      <c r="E9" s="162">
        <v>4</v>
      </c>
      <c r="F9" s="166">
        <v>-1</v>
      </c>
      <c r="G9" s="162">
        <f>20+18</f>
        <v>38</v>
      </c>
      <c r="H9" s="162">
        <f>39+26</f>
        <v>65</v>
      </c>
      <c r="I9" s="180">
        <f t="shared" si="0"/>
        <v>0.58461538461538465</v>
      </c>
      <c r="K9" s="701" t="s">
        <v>35</v>
      </c>
      <c r="L9" s="702" t="s">
        <v>9</v>
      </c>
      <c r="M9" s="706">
        <v>2</v>
      </c>
      <c r="N9" s="704">
        <v>2</v>
      </c>
      <c r="O9" s="707">
        <v>-2</v>
      </c>
      <c r="P9" s="704">
        <f>23+12</f>
        <v>35</v>
      </c>
      <c r="Q9" s="704">
        <f>34+26</f>
        <v>60</v>
      </c>
      <c r="R9" s="705">
        <f t="shared" si="3"/>
        <v>0.58333333333333337</v>
      </c>
      <c r="T9" s="20"/>
      <c r="U9" s="157"/>
      <c r="V9" s="176"/>
      <c r="W9" s="161"/>
      <c r="X9" s="164"/>
      <c r="Y9" s="161"/>
      <c r="Z9" s="161"/>
      <c r="AA9" s="163"/>
    </row>
    <row r="10" spans="1:27" ht="21" x14ac:dyDescent="0.35">
      <c r="A10" s="160">
        <f t="shared" si="2"/>
        <v>6</v>
      </c>
      <c r="B10" s="158" t="s">
        <v>10</v>
      </c>
      <c r="C10" s="159" t="s">
        <v>11</v>
      </c>
      <c r="D10" s="232">
        <v>4</v>
      </c>
      <c r="E10" s="162">
        <v>4</v>
      </c>
      <c r="F10" s="166">
        <v>-1</v>
      </c>
      <c r="G10" s="162">
        <f>12+19</f>
        <v>31</v>
      </c>
      <c r="H10" s="162">
        <f>36+26</f>
        <v>62</v>
      </c>
      <c r="I10" s="180">
        <f t="shared" si="0"/>
        <v>0.5</v>
      </c>
      <c r="K10" s="701" t="s">
        <v>28</v>
      </c>
      <c r="L10" s="702" t="s">
        <v>16</v>
      </c>
      <c r="M10" s="706">
        <v>2</v>
      </c>
      <c r="N10" s="704">
        <v>2</v>
      </c>
      <c r="O10" s="707">
        <v>-2</v>
      </c>
      <c r="P10" s="704">
        <f>15+12</f>
        <v>27</v>
      </c>
      <c r="Q10" s="704">
        <f>25+26</f>
        <v>51</v>
      </c>
      <c r="R10" s="705">
        <f t="shared" si="3"/>
        <v>0.52941176470588236</v>
      </c>
      <c r="T10" s="174"/>
      <c r="U10" s="175"/>
      <c r="V10" s="176"/>
      <c r="W10" s="176"/>
      <c r="X10" s="179"/>
      <c r="Y10" s="176"/>
      <c r="Z10" s="176"/>
      <c r="AA10" s="177"/>
    </row>
    <row r="11" spans="1:27" ht="21" x14ac:dyDescent="0.35">
      <c r="A11" s="160">
        <f t="shared" si="2"/>
        <v>7</v>
      </c>
      <c r="B11" s="158" t="s">
        <v>13</v>
      </c>
      <c r="C11" s="159" t="s">
        <v>9</v>
      </c>
      <c r="D11" s="232">
        <v>4</v>
      </c>
      <c r="E11" s="162">
        <v>4</v>
      </c>
      <c r="F11" s="166">
        <v>-1</v>
      </c>
      <c r="G11" s="162">
        <f>7+18</f>
        <v>25</v>
      </c>
      <c r="H11" s="162">
        <f>39+25</f>
        <v>64</v>
      </c>
      <c r="I11" s="180">
        <f t="shared" si="0"/>
        <v>0.390625</v>
      </c>
      <c r="K11" s="701" t="s">
        <v>125</v>
      </c>
      <c r="L11" s="702" t="s">
        <v>16</v>
      </c>
      <c r="M11" s="703">
        <v>2</v>
      </c>
      <c r="N11" s="702">
        <v>2</v>
      </c>
      <c r="O11" s="702">
        <v>-3</v>
      </c>
      <c r="P11" s="704">
        <f>15+7</f>
        <v>22</v>
      </c>
      <c r="Q11" s="704">
        <f>39+26</f>
        <v>65</v>
      </c>
      <c r="R11" s="705">
        <f t="shared" si="3"/>
        <v>0.33846153846153848</v>
      </c>
      <c r="T11" s="174"/>
      <c r="U11" s="175"/>
      <c r="V11" s="176"/>
      <c r="W11" s="176"/>
      <c r="X11" s="179"/>
      <c r="Y11" s="176"/>
      <c r="Z11" s="176"/>
      <c r="AA11" s="177"/>
    </row>
    <row r="12" spans="1:27" ht="21" x14ac:dyDescent="0.35">
      <c r="A12" s="160">
        <f t="shared" si="2"/>
        <v>8</v>
      </c>
      <c r="B12" s="158" t="s">
        <v>21</v>
      </c>
      <c r="C12" s="159" t="s">
        <v>11</v>
      </c>
      <c r="D12" s="232">
        <v>4</v>
      </c>
      <c r="E12" s="162">
        <v>2</v>
      </c>
      <c r="F12" s="166">
        <v>0</v>
      </c>
      <c r="G12" s="162">
        <v>16</v>
      </c>
      <c r="H12" s="162">
        <v>25</v>
      </c>
      <c r="I12" s="180">
        <f t="shared" si="0"/>
        <v>0.64</v>
      </c>
      <c r="K12" s="701"/>
      <c r="L12" s="702"/>
      <c r="M12" s="704"/>
      <c r="N12" s="708"/>
      <c r="O12" s="707"/>
      <c r="P12" s="704"/>
      <c r="Q12" s="704"/>
      <c r="R12" s="709"/>
      <c r="T12" s="174"/>
      <c r="U12" s="175"/>
      <c r="V12" s="176"/>
      <c r="W12" s="176"/>
      <c r="X12" s="179"/>
      <c r="Y12" s="176"/>
      <c r="Z12" s="176"/>
      <c r="AA12" s="177"/>
    </row>
    <row r="13" spans="1:27" ht="17.399999999999999" x14ac:dyDescent="0.35">
      <c r="A13" s="160">
        <f t="shared" si="2"/>
        <v>9</v>
      </c>
      <c r="B13" s="168"/>
      <c r="C13" s="159"/>
      <c r="D13" s="162"/>
      <c r="E13" s="162"/>
      <c r="F13" s="166"/>
      <c r="G13" s="162"/>
      <c r="H13" s="162"/>
      <c r="I13" s="167"/>
      <c r="K13" s="701"/>
      <c r="L13" s="702"/>
      <c r="M13" s="704"/>
      <c r="N13" s="708"/>
      <c r="O13" s="707"/>
      <c r="P13" s="704"/>
      <c r="Q13" s="704"/>
      <c r="R13" s="709"/>
      <c r="T13" s="174"/>
      <c r="U13" s="175"/>
      <c r="V13" s="176"/>
      <c r="W13" s="176"/>
      <c r="X13" s="179"/>
      <c r="Y13" s="176"/>
      <c r="Z13" s="176"/>
      <c r="AA13" s="177"/>
    </row>
    <row r="14" spans="1:27" x14ac:dyDescent="0.3">
      <c r="A14" s="160" t="e">
        <f>#REF!+1</f>
        <v>#REF!</v>
      </c>
    </row>
    <row r="15" spans="1:27" x14ac:dyDescent="0.3">
      <c r="A15" s="160" t="e">
        <f t="shared" si="2"/>
        <v>#REF!</v>
      </c>
    </row>
    <row r="16" spans="1:27" x14ac:dyDescent="0.3">
      <c r="A16" s="160" t="e">
        <f t="shared" si="2"/>
        <v>#REF!</v>
      </c>
    </row>
    <row r="17" spans="1:1" x14ac:dyDescent="0.3">
      <c r="A17" s="160" t="e">
        <f t="shared" si="2"/>
        <v>#REF!</v>
      </c>
    </row>
    <row r="18" spans="1:1" ht="17.399999999999999" customHeight="1" x14ac:dyDescent="0.3">
      <c r="A18" s="160" t="e">
        <f t="shared" si="2"/>
        <v>#REF!</v>
      </c>
    </row>
    <row r="19" spans="1:1" ht="17.399999999999999" customHeight="1" x14ac:dyDescent="0.3">
      <c r="A19" s="160" t="e">
        <f t="shared" si="2"/>
        <v>#REF!</v>
      </c>
    </row>
    <row r="20" spans="1:1" x14ac:dyDescent="0.3">
      <c r="A20" s="160" t="e">
        <f t="shared" si="2"/>
        <v>#REF!</v>
      </c>
    </row>
  </sheetData>
  <autoFilter ref="B4:AA4" xr:uid="{E20FF90B-3125-441B-AF3A-0CC7BB1CA0DC}"/>
  <pageMargins left="0" right="0" top="0.78740157480314965" bottom="0" header="0.31496062992125984" footer="0.31496062992125984"/>
  <pageSetup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8A48-4204-4981-BE9B-E01B67F83CEB}">
  <sheetPr>
    <pageSetUpPr fitToPage="1"/>
  </sheetPr>
  <dimension ref="B1:BF48"/>
  <sheetViews>
    <sheetView zoomScale="55" zoomScaleNormal="55" workbookViewId="0">
      <selection activeCell="AP33" sqref="A1:AP33"/>
    </sheetView>
  </sheetViews>
  <sheetFormatPr baseColWidth="10" defaultColWidth="10.6640625" defaultRowHeight="14.4" x14ac:dyDescent="0.3"/>
  <cols>
    <col min="1" max="1" width="5.6640625" customWidth="1"/>
    <col min="2" max="2" width="3" bestFit="1" customWidth="1"/>
    <col min="3" max="13" width="3.6640625" customWidth="1"/>
    <col min="14" max="14" width="20.88671875" style="64" bestFit="1" customWidth="1"/>
    <col min="15" max="24" width="3.6640625" customWidth="1"/>
    <col min="25" max="27" width="6.109375" customWidth="1"/>
    <col min="28" max="28" width="23.33203125" style="64" bestFit="1" customWidth="1"/>
    <col min="29" max="41" width="3.6640625" customWidth="1"/>
    <col min="42" max="42" width="21" style="64" bestFit="1" customWidth="1"/>
  </cols>
  <sheetData>
    <row r="1" spans="2:58" ht="15" thickBot="1" x14ac:dyDescent="0.35"/>
    <row r="2" spans="2:58" ht="14.4" customHeight="1" x14ac:dyDescent="0.3">
      <c r="B2" s="10"/>
      <c r="C2" s="10"/>
      <c r="D2" s="10"/>
      <c r="E2" s="10"/>
      <c r="F2" s="10"/>
      <c r="G2" s="10"/>
      <c r="H2" s="10"/>
      <c r="I2" s="10"/>
      <c r="X2" s="10"/>
      <c r="Y2" s="395">
        <v>2</v>
      </c>
      <c r="Z2" s="396"/>
      <c r="AA2" s="397"/>
      <c r="AB2" s="386" t="s">
        <v>68</v>
      </c>
      <c r="AC2" s="387"/>
      <c r="AD2" s="387"/>
      <c r="AE2" s="387"/>
      <c r="AF2" s="387"/>
      <c r="AG2" s="387"/>
      <c r="AH2" s="387"/>
      <c r="AI2" s="387"/>
      <c r="AJ2" s="387"/>
      <c r="AK2" s="387"/>
      <c r="AL2" s="387"/>
      <c r="AM2" s="387"/>
      <c r="AN2" s="387"/>
      <c r="AO2" s="387"/>
      <c r="AP2" s="388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</row>
    <row r="3" spans="2:58" ht="31.2" customHeight="1" x14ac:dyDescent="0.3">
      <c r="B3" s="10"/>
      <c r="C3" s="10"/>
      <c r="D3" s="11"/>
      <c r="E3" s="11"/>
      <c r="F3" s="11"/>
      <c r="G3" s="11"/>
      <c r="H3" s="11"/>
      <c r="I3" s="11"/>
      <c r="X3" s="10"/>
      <c r="Y3" s="398"/>
      <c r="Z3" s="399"/>
      <c r="AA3" s="400"/>
      <c r="AB3" s="389"/>
      <c r="AC3" s="390"/>
      <c r="AD3" s="390"/>
      <c r="AE3" s="390"/>
      <c r="AF3" s="390"/>
      <c r="AG3" s="390"/>
      <c r="AH3" s="390"/>
      <c r="AI3" s="390"/>
      <c r="AJ3" s="390"/>
      <c r="AK3" s="390"/>
      <c r="AL3" s="390"/>
      <c r="AM3" s="390"/>
      <c r="AN3" s="390"/>
      <c r="AO3" s="390"/>
      <c r="AP3" s="391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</row>
    <row r="4" spans="2:58" ht="30.6" customHeight="1" x14ac:dyDescent="0.3">
      <c r="C4" s="11"/>
      <c r="D4" s="11"/>
      <c r="E4" s="11"/>
      <c r="F4" s="11"/>
      <c r="G4" s="11"/>
      <c r="H4" s="11"/>
      <c r="I4" s="11"/>
      <c r="X4" s="11"/>
      <c r="Y4" s="398"/>
      <c r="Z4" s="399"/>
      <c r="AA4" s="400"/>
      <c r="AB4" s="389"/>
      <c r="AC4" s="390"/>
      <c r="AD4" s="390"/>
      <c r="AE4" s="390"/>
      <c r="AF4" s="390"/>
      <c r="AG4" s="390"/>
      <c r="AH4" s="390"/>
      <c r="AI4" s="390"/>
      <c r="AJ4" s="390"/>
      <c r="AK4" s="390"/>
      <c r="AL4" s="390"/>
      <c r="AM4" s="390"/>
      <c r="AN4" s="390"/>
      <c r="AO4" s="390"/>
      <c r="AP4" s="391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</row>
    <row r="5" spans="2:58" ht="25.2" customHeight="1" thickBot="1" x14ac:dyDescent="0.3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401"/>
      <c r="Z5" s="402"/>
      <c r="AA5" s="403"/>
      <c r="AB5" s="392"/>
      <c r="AC5" s="393"/>
      <c r="AD5" s="393"/>
      <c r="AE5" s="393"/>
      <c r="AF5" s="393"/>
      <c r="AG5" s="393"/>
      <c r="AH5" s="393"/>
      <c r="AI5" s="393"/>
      <c r="AJ5" s="393"/>
      <c r="AK5" s="393"/>
      <c r="AL5" s="393"/>
      <c r="AM5" s="393"/>
      <c r="AN5" s="393"/>
      <c r="AO5" s="393"/>
      <c r="AP5" s="394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</row>
    <row r="6" spans="2:58" ht="25.2" customHeight="1" x14ac:dyDescent="0.3"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404" t="s">
        <v>69</v>
      </c>
      <c r="Z6" s="405"/>
      <c r="AA6" s="405"/>
      <c r="AB6" s="405"/>
      <c r="AC6" s="405"/>
      <c r="AD6" s="405"/>
      <c r="AE6" s="405"/>
      <c r="AF6" s="405"/>
      <c r="AG6" s="405"/>
      <c r="AH6" s="405"/>
      <c r="AI6" s="405"/>
      <c r="AJ6" s="405"/>
      <c r="AK6" s="405"/>
      <c r="AL6" s="405"/>
      <c r="AM6" s="405"/>
      <c r="AN6" s="405"/>
      <c r="AO6" s="405"/>
      <c r="AP6" s="406"/>
    </row>
    <row r="7" spans="2:58" ht="25.2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407"/>
      <c r="Z7" s="408"/>
      <c r="AA7" s="408"/>
      <c r="AB7" s="408"/>
      <c r="AC7" s="408"/>
      <c r="AD7" s="408"/>
      <c r="AE7" s="408"/>
      <c r="AF7" s="408"/>
      <c r="AG7" s="408"/>
      <c r="AH7" s="408"/>
      <c r="AI7" s="408"/>
      <c r="AJ7" s="408"/>
      <c r="AK7" s="408"/>
      <c r="AL7" s="408"/>
      <c r="AM7" s="408"/>
      <c r="AN7" s="408"/>
      <c r="AO7" s="408"/>
      <c r="AP7" s="409"/>
    </row>
    <row r="8" spans="2:58" ht="25.2" customHeight="1" x14ac:dyDescent="0.3">
      <c r="B8" s="50"/>
      <c r="C8" s="433" t="s">
        <v>120</v>
      </c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4">
        <f>'L. GENERAL'!R1</f>
        <v>45850</v>
      </c>
      <c r="X8" s="434"/>
      <c r="Y8" s="434"/>
      <c r="Z8" s="434"/>
      <c r="AA8" s="434"/>
      <c r="AB8" s="434"/>
      <c r="AC8" s="434"/>
      <c r="AD8" s="434"/>
      <c r="AE8" s="434"/>
      <c r="AF8" s="434"/>
      <c r="AG8" s="434"/>
      <c r="AH8" s="434"/>
      <c r="AI8" s="434"/>
      <c r="AJ8" s="434"/>
      <c r="AK8" s="434"/>
      <c r="AL8" s="434"/>
      <c r="AM8" s="434"/>
      <c r="AN8" s="434"/>
      <c r="AO8" s="434"/>
      <c r="AP8" s="434"/>
    </row>
    <row r="9" spans="2:58" ht="14.4" customHeight="1" thickBot="1" x14ac:dyDescent="0.35">
      <c r="B9" s="50"/>
      <c r="C9" s="433"/>
      <c r="D9" s="433"/>
      <c r="E9" s="433"/>
      <c r="F9" s="433"/>
      <c r="G9" s="433"/>
      <c r="H9" s="433"/>
      <c r="I9" s="433"/>
      <c r="J9" s="433"/>
      <c r="K9" s="433"/>
      <c r="L9" s="433"/>
      <c r="M9" s="433"/>
      <c r="N9" s="433"/>
      <c r="O9" s="433"/>
      <c r="P9" s="433"/>
      <c r="Q9" s="433"/>
      <c r="R9" s="433"/>
      <c r="S9" s="433"/>
      <c r="T9" s="433"/>
      <c r="U9" s="433"/>
      <c r="V9" s="433"/>
      <c r="W9" s="434"/>
      <c r="X9" s="434"/>
      <c r="Y9" s="434"/>
      <c r="Z9" s="434"/>
      <c r="AA9" s="434"/>
      <c r="AB9" s="434"/>
      <c r="AC9" s="434"/>
      <c r="AD9" s="434"/>
      <c r="AE9" s="434"/>
      <c r="AF9" s="434"/>
      <c r="AG9" s="434"/>
      <c r="AH9" s="434"/>
      <c r="AI9" s="434"/>
      <c r="AJ9" s="434"/>
      <c r="AK9" s="434"/>
      <c r="AL9" s="434"/>
      <c r="AM9" s="434"/>
      <c r="AN9" s="434"/>
      <c r="AO9" s="434"/>
      <c r="AP9" s="434"/>
    </row>
    <row r="10" spans="2:58" ht="18.600000000000001" thickBot="1" x14ac:dyDescent="0.4">
      <c r="C10" s="485" t="s">
        <v>70</v>
      </c>
      <c r="D10" s="486"/>
      <c r="E10" s="486"/>
      <c r="F10" s="486"/>
      <c r="G10" s="486"/>
      <c r="H10" s="486"/>
      <c r="I10" s="486"/>
      <c r="J10" s="486"/>
      <c r="K10" s="486"/>
      <c r="L10" s="486"/>
      <c r="M10" s="486"/>
      <c r="N10" s="487"/>
      <c r="Q10" s="491" t="s">
        <v>71</v>
      </c>
      <c r="R10" s="492"/>
      <c r="S10" s="492"/>
      <c r="T10" s="492"/>
      <c r="U10" s="492"/>
      <c r="V10" s="492"/>
      <c r="W10" s="492"/>
      <c r="X10" s="492"/>
      <c r="Y10" s="492"/>
      <c r="Z10" s="492"/>
      <c r="AA10" s="492"/>
      <c r="AB10" s="493"/>
      <c r="AE10" s="464" t="s">
        <v>72</v>
      </c>
      <c r="AF10" s="465"/>
      <c r="AG10" s="465"/>
      <c r="AH10" s="465"/>
      <c r="AI10" s="465"/>
      <c r="AJ10" s="465"/>
      <c r="AK10" s="465"/>
      <c r="AL10" s="465"/>
      <c r="AM10" s="465"/>
      <c r="AN10" s="465"/>
      <c r="AO10" s="465"/>
      <c r="AP10" s="466"/>
    </row>
    <row r="11" spans="2:58" ht="23.4" customHeight="1" thickBot="1" x14ac:dyDescent="0.5">
      <c r="C11" s="488">
        <f>'L. GENERAL'!R1</f>
        <v>45850</v>
      </c>
      <c r="D11" s="489"/>
      <c r="E11" s="489"/>
      <c r="F11" s="489"/>
      <c r="G11" s="489"/>
      <c r="H11" s="489"/>
      <c r="I11" s="489"/>
      <c r="J11" s="490"/>
      <c r="K11" s="497" t="s">
        <v>73</v>
      </c>
      <c r="L11" s="498"/>
      <c r="M11" s="498"/>
      <c r="N11" s="63"/>
      <c r="O11" s="6"/>
      <c r="Q11" s="494">
        <f>C11</f>
        <v>45850</v>
      </c>
      <c r="R11" s="495"/>
      <c r="S11" s="495"/>
      <c r="T11" s="495"/>
      <c r="U11" s="495"/>
      <c r="V11" s="495"/>
      <c r="W11" s="495"/>
      <c r="X11" s="496"/>
      <c r="Y11" s="419" t="s">
        <v>73</v>
      </c>
      <c r="Z11" s="420"/>
      <c r="AA11" s="420"/>
      <c r="AB11" s="69"/>
      <c r="AE11" s="467">
        <f>C11</f>
        <v>45850</v>
      </c>
      <c r="AF11" s="468"/>
      <c r="AG11" s="468"/>
      <c r="AH11" s="468"/>
      <c r="AI11" s="468"/>
      <c r="AJ11" s="468"/>
      <c r="AK11" s="468"/>
      <c r="AL11" s="469"/>
      <c r="AM11" s="421" t="s">
        <v>73</v>
      </c>
      <c r="AN11" s="422"/>
      <c r="AO11" s="422"/>
      <c r="AP11" s="74"/>
    </row>
    <row r="12" spans="2:58" s="16" customFormat="1" x14ac:dyDescent="0.3">
      <c r="C12" s="461" t="s">
        <v>74</v>
      </c>
      <c r="D12" s="462"/>
      <c r="E12" s="462"/>
      <c r="F12" s="462"/>
      <c r="G12" s="462"/>
      <c r="H12" s="462"/>
      <c r="I12" s="462"/>
      <c r="J12" s="462"/>
      <c r="K12" s="462"/>
      <c r="L12" s="462"/>
      <c r="M12" s="463"/>
      <c r="N12" s="211" t="s">
        <v>75</v>
      </c>
      <c r="Q12" s="461" t="s">
        <v>74</v>
      </c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211" t="s">
        <v>75</v>
      </c>
      <c r="AE12" s="461" t="s">
        <v>74</v>
      </c>
      <c r="AF12" s="462"/>
      <c r="AG12" s="462"/>
      <c r="AH12" s="462"/>
      <c r="AI12" s="462"/>
      <c r="AJ12" s="462"/>
      <c r="AK12" s="462"/>
      <c r="AL12" s="462"/>
      <c r="AM12" s="462"/>
      <c r="AN12" s="462"/>
      <c r="AO12" s="463"/>
      <c r="AP12" s="211" t="s">
        <v>75</v>
      </c>
    </row>
    <row r="13" spans="2:58" ht="17.399999999999999" customHeight="1" x14ac:dyDescent="0.3">
      <c r="B13" s="7" t="s">
        <v>76</v>
      </c>
      <c r="C13" s="448" t="str">
        <f>'L. GENERAL'!M3</f>
        <v>CRISTIAN GUANCHA</v>
      </c>
      <c r="D13" s="448"/>
      <c r="E13" s="448"/>
      <c r="F13" s="448"/>
      <c r="G13" s="448"/>
      <c r="H13" s="448"/>
      <c r="I13" s="448"/>
      <c r="J13" s="448"/>
      <c r="K13" s="448"/>
      <c r="L13" s="448"/>
      <c r="M13" s="448"/>
      <c r="N13" s="62" t="str">
        <f>'L. GENERAL'!N3</f>
        <v>TEAM GUANCHA</v>
      </c>
      <c r="O13" s="5"/>
      <c r="P13" s="7" t="s">
        <v>76</v>
      </c>
      <c r="Q13" s="448" t="str">
        <f>'L. GENERAL'!R3</f>
        <v>CUPO RELAMPAGO</v>
      </c>
      <c r="R13" s="448"/>
      <c r="S13" s="448"/>
      <c r="T13" s="448"/>
      <c r="U13" s="448"/>
      <c r="V13" s="448"/>
      <c r="W13" s="448"/>
      <c r="X13" s="448"/>
      <c r="Y13" s="448"/>
      <c r="Z13" s="448"/>
      <c r="AA13" s="448"/>
      <c r="AB13" s="62" t="str">
        <f>'L. GENERAL'!S3</f>
        <v>TEAM GUANCHA</v>
      </c>
      <c r="AD13" s="7" t="s">
        <v>76</v>
      </c>
      <c r="AE13" s="448" t="str">
        <f>'L. GENERAL'!M7</f>
        <v>PABLO GETIAL</v>
      </c>
      <c r="AF13" s="448"/>
      <c r="AG13" s="448"/>
      <c r="AH13" s="448"/>
      <c r="AI13" s="448"/>
      <c r="AJ13" s="448"/>
      <c r="AK13" s="448"/>
      <c r="AL13" s="448"/>
      <c r="AM13" s="448"/>
      <c r="AN13" s="448"/>
      <c r="AO13" s="448"/>
      <c r="AP13" s="62" t="str">
        <f>'L. GENERAL'!N7</f>
        <v>LA OFICINA</v>
      </c>
    </row>
    <row r="14" spans="2:58" ht="17.399999999999999" customHeight="1" x14ac:dyDescent="0.3">
      <c r="B14" s="7" t="s">
        <v>77</v>
      </c>
      <c r="C14" s="448" t="str">
        <f>'L. GENERAL'!M4</f>
        <v>JHON ACOSTA</v>
      </c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62" t="str">
        <f>'L. GENERAL'!N4</f>
        <v>OFICINA</v>
      </c>
      <c r="O14" s="5"/>
      <c r="P14" s="7" t="s">
        <v>77</v>
      </c>
      <c r="Q14" s="448" t="str">
        <f>'L. GENERAL'!R4</f>
        <v>JHON QUENGUAN</v>
      </c>
      <c r="R14" s="448"/>
      <c r="S14" s="448"/>
      <c r="T14" s="448"/>
      <c r="U14" s="448"/>
      <c r="V14" s="448"/>
      <c r="W14" s="448"/>
      <c r="X14" s="448"/>
      <c r="Y14" s="448"/>
      <c r="Z14" s="448"/>
      <c r="AA14" s="448"/>
      <c r="AB14" s="62" t="str">
        <f>'L. GENERAL'!S4</f>
        <v>ZONA 30</v>
      </c>
      <c r="AD14" s="7" t="s">
        <v>77</v>
      </c>
      <c r="AE14" s="448" t="str">
        <f>'L. GENERAL'!M8</f>
        <v>DARIO MANTILLA</v>
      </c>
      <c r="AF14" s="448"/>
      <c r="AG14" s="448"/>
      <c r="AH14" s="448"/>
      <c r="AI14" s="448"/>
      <c r="AJ14" s="448"/>
      <c r="AK14" s="448"/>
      <c r="AL14" s="448"/>
      <c r="AM14" s="448"/>
      <c r="AN14" s="448"/>
      <c r="AO14" s="448"/>
      <c r="AP14" s="62" t="str">
        <f>'L. GENERAL'!N8</f>
        <v>ROMA</v>
      </c>
    </row>
    <row r="15" spans="2:58" ht="17.399999999999999" customHeight="1" x14ac:dyDescent="0.3">
      <c r="B15" s="7" t="s">
        <v>78</v>
      </c>
      <c r="C15" s="448" t="str">
        <f>'L. GENERAL'!M5</f>
        <v>MAVERICK</v>
      </c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62" t="str">
        <f>'L. GENERAL'!N5</f>
        <v>TEAM GUANCHA</v>
      </c>
      <c r="O15" s="5"/>
      <c r="P15" s="7" t="s">
        <v>78</v>
      </c>
      <c r="Q15" s="448" t="str">
        <f>'L. GENERAL'!R5</f>
        <v>JORGE CUMBAL</v>
      </c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62" t="str">
        <f>'L. GENERAL'!S5</f>
        <v>ZONA 30</v>
      </c>
      <c r="AD15" s="7" t="s">
        <v>78</v>
      </c>
      <c r="AE15" s="448" t="str">
        <f>'L. GENERAL'!M9</f>
        <v>EDWIN LOPEZ</v>
      </c>
      <c r="AF15" s="448"/>
      <c r="AG15" s="448"/>
      <c r="AH15" s="448"/>
      <c r="AI15" s="448"/>
      <c r="AJ15" s="448"/>
      <c r="AK15" s="448"/>
      <c r="AL15" s="448"/>
      <c r="AM15" s="448"/>
      <c r="AN15" s="448"/>
      <c r="AO15" s="448"/>
      <c r="AP15" s="62" t="str">
        <f>'L. GENERAL'!S5</f>
        <v>ZONA 30</v>
      </c>
    </row>
    <row r="16" spans="2:58" ht="17.399999999999999" x14ac:dyDescent="0.3">
      <c r="B16" s="7" t="s">
        <v>79</v>
      </c>
      <c r="C16" s="435" t="str">
        <f>'L. GENERAL'!M6</f>
        <v>******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84" t="str">
        <f>'L. GENERAL'!N6</f>
        <v>AA</v>
      </c>
      <c r="O16" s="5"/>
      <c r="P16" s="7" t="s">
        <v>79</v>
      </c>
      <c r="Q16" s="435" t="str">
        <f>'L. GENERAL'!R6</f>
        <v>******</v>
      </c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84" t="str">
        <f>'L. GENERAL'!S6</f>
        <v>BB</v>
      </c>
      <c r="AD16" s="7" t="s">
        <v>79</v>
      </c>
      <c r="AE16" s="435" t="str">
        <f>'L. GENERAL'!M10</f>
        <v>******</v>
      </c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84" t="str">
        <f>'L. GENERAL'!N10</f>
        <v>CC</v>
      </c>
    </row>
    <row r="17" spans="2:42" ht="14.4" customHeight="1" thickBot="1" x14ac:dyDescent="0.35"/>
    <row r="18" spans="2:42" ht="18" customHeight="1" thickBot="1" x14ac:dyDescent="0.4">
      <c r="C18" s="510" t="s">
        <v>80</v>
      </c>
      <c r="D18" s="511"/>
      <c r="E18" s="511"/>
      <c r="F18" s="511"/>
      <c r="G18" s="511"/>
      <c r="H18" s="511"/>
      <c r="I18" s="511"/>
      <c r="J18" s="511"/>
      <c r="K18" s="511"/>
      <c r="L18" s="511"/>
      <c r="M18" s="511"/>
      <c r="N18" s="512"/>
      <c r="Q18" s="513" t="s">
        <v>81</v>
      </c>
      <c r="R18" s="514"/>
      <c r="S18" s="514"/>
      <c r="T18" s="514"/>
      <c r="U18" s="514"/>
      <c r="V18" s="514"/>
      <c r="W18" s="514"/>
      <c r="X18" s="514"/>
      <c r="Y18" s="514"/>
      <c r="Z18" s="514"/>
      <c r="AA18" s="514"/>
      <c r="AB18" s="515"/>
      <c r="AE18" s="516" t="s">
        <v>82</v>
      </c>
      <c r="AF18" s="517"/>
      <c r="AG18" s="517"/>
      <c r="AH18" s="517"/>
      <c r="AI18" s="517"/>
      <c r="AJ18" s="517"/>
      <c r="AK18" s="517"/>
      <c r="AL18" s="517"/>
      <c r="AM18" s="517"/>
      <c r="AN18" s="517"/>
      <c r="AO18" s="517"/>
      <c r="AP18" s="518"/>
    </row>
    <row r="19" spans="2:42" ht="23.4" customHeight="1" thickBot="1" x14ac:dyDescent="0.5">
      <c r="C19" s="499">
        <f>C11</f>
        <v>45850</v>
      </c>
      <c r="D19" s="500"/>
      <c r="E19" s="500"/>
      <c r="F19" s="500"/>
      <c r="G19" s="500"/>
      <c r="H19" s="500"/>
      <c r="I19" s="500"/>
      <c r="J19" s="501"/>
      <c r="K19" s="502" t="s">
        <v>73</v>
      </c>
      <c r="L19" s="503"/>
      <c r="M19" s="503"/>
      <c r="N19" s="65"/>
      <c r="O19" s="6"/>
      <c r="Q19" s="504">
        <f>C11</f>
        <v>45850</v>
      </c>
      <c r="R19" s="505"/>
      <c r="S19" s="505"/>
      <c r="T19" s="505"/>
      <c r="U19" s="505"/>
      <c r="V19" s="505"/>
      <c r="W19" s="505"/>
      <c r="X19" s="506"/>
      <c r="Y19" s="425" t="s">
        <v>73</v>
      </c>
      <c r="Z19" s="426"/>
      <c r="AA19" s="426"/>
      <c r="AB19" s="70"/>
      <c r="AE19" s="507">
        <f>Q19</f>
        <v>45850</v>
      </c>
      <c r="AF19" s="508"/>
      <c r="AG19" s="508"/>
      <c r="AH19" s="508"/>
      <c r="AI19" s="508"/>
      <c r="AJ19" s="508"/>
      <c r="AK19" s="508"/>
      <c r="AL19" s="509"/>
      <c r="AM19" s="423" t="s">
        <v>73</v>
      </c>
      <c r="AN19" s="424"/>
      <c r="AO19" s="424"/>
      <c r="AP19" s="75"/>
    </row>
    <row r="20" spans="2:42" s="16" customFormat="1" x14ac:dyDescent="0.3">
      <c r="C20" s="461" t="s">
        <v>74</v>
      </c>
      <c r="D20" s="462"/>
      <c r="E20" s="462"/>
      <c r="F20" s="462"/>
      <c r="G20" s="462"/>
      <c r="H20" s="462"/>
      <c r="I20" s="462"/>
      <c r="J20" s="462"/>
      <c r="K20" s="462"/>
      <c r="L20" s="462"/>
      <c r="M20" s="463"/>
      <c r="N20" s="211" t="s">
        <v>75</v>
      </c>
      <c r="Q20" s="461" t="s">
        <v>74</v>
      </c>
      <c r="R20" s="462"/>
      <c r="S20" s="462"/>
      <c r="T20" s="462"/>
      <c r="U20" s="462"/>
      <c r="V20" s="462"/>
      <c r="W20" s="462"/>
      <c r="X20" s="462"/>
      <c r="Y20" s="462"/>
      <c r="Z20" s="462"/>
      <c r="AA20" s="463"/>
      <c r="AB20" s="211" t="s">
        <v>75</v>
      </c>
      <c r="AE20" s="461" t="s">
        <v>74</v>
      </c>
      <c r="AF20" s="462"/>
      <c r="AG20" s="462"/>
      <c r="AH20" s="462"/>
      <c r="AI20" s="462"/>
      <c r="AJ20" s="462"/>
      <c r="AK20" s="462"/>
      <c r="AL20" s="462"/>
      <c r="AM20" s="462"/>
      <c r="AN20" s="462"/>
      <c r="AO20" s="463"/>
      <c r="AP20" s="211" t="s">
        <v>75</v>
      </c>
    </row>
    <row r="21" spans="2:42" ht="17.399999999999999" customHeight="1" x14ac:dyDescent="0.3">
      <c r="B21" s="7" t="s">
        <v>76</v>
      </c>
      <c r="C21" s="448" t="str">
        <f>'L. GENERAL'!R7</f>
        <v>EDGAR PAZMIÑO</v>
      </c>
      <c r="D21" s="448"/>
      <c r="E21" s="448"/>
      <c r="F21" s="448"/>
      <c r="G21" s="448"/>
      <c r="H21" s="448"/>
      <c r="I21" s="448"/>
      <c r="J21" s="448"/>
      <c r="K21" s="448"/>
      <c r="L21" s="448"/>
      <c r="M21" s="448"/>
      <c r="N21" s="62" t="str">
        <f>'L. GENERAL'!S7</f>
        <v>ZONA 30</v>
      </c>
      <c r="O21" s="5"/>
      <c r="P21" s="7" t="s">
        <v>76</v>
      </c>
      <c r="Q21" s="448" t="str">
        <f>'L. GENERAL'!M11</f>
        <v>RAMIRO MAFLA</v>
      </c>
      <c r="R21" s="448"/>
      <c r="S21" s="448"/>
      <c r="T21" s="448"/>
      <c r="U21" s="448"/>
      <c r="V21" s="448"/>
      <c r="W21" s="448"/>
      <c r="X21" s="448"/>
      <c r="Y21" s="448"/>
      <c r="Z21" s="448"/>
      <c r="AA21" s="448"/>
      <c r="AB21" s="62" t="str">
        <f>'L. GENERAL'!N11</f>
        <v>OFICINA</v>
      </c>
      <c r="AD21" s="7" t="s">
        <v>76</v>
      </c>
      <c r="AE21" s="448" t="str">
        <f>'L. GENERAL'!R11</f>
        <v>JHON A. BETHANCOUR</v>
      </c>
      <c r="AF21" s="448"/>
      <c r="AG21" s="448"/>
      <c r="AH21" s="448"/>
      <c r="AI21" s="448"/>
      <c r="AJ21" s="448"/>
      <c r="AK21" s="448"/>
      <c r="AL21" s="448"/>
      <c r="AM21" s="448"/>
      <c r="AN21" s="448"/>
      <c r="AO21" s="448"/>
      <c r="AP21" s="62" t="str">
        <f>'L. GENERAL'!S11</f>
        <v>OFICINA</v>
      </c>
    </row>
    <row r="22" spans="2:42" ht="17.399999999999999" customHeight="1" x14ac:dyDescent="0.3">
      <c r="B22" s="7" t="s">
        <v>77</v>
      </c>
      <c r="C22" s="448" t="str">
        <f>'L. GENERAL'!R8</f>
        <v>MILSON REALPE</v>
      </c>
      <c r="D22" s="448"/>
      <c r="E22" s="448"/>
      <c r="F22" s="448"/>
      <c r="G22" s="448"/>
      <c r="H22" s="448"/>
      <c r="I22" s="448"/>
      <c r="J22" s="448"/>
      <c r="K22" s="448"/>
      <c r="L22" s="448"/>
      <c r="M22" s="448"/>
      <c r="N22" s="62" t="str">
        <f>'L. GENERAL'!S8</f>
        <v>OFICINA</v>
      </c>
      <c r="O22" s="5"/>
      <c r="P22" s="7" t="s">
        <v>77</v>
      </c>
      <c r="Q22" s="448" t="str">
        <f>'L. GENERAL'!M12</f>
        <v>JORGE HERNANDEZ</v>
      </c>
      <c r="R22" s="448"/>
      <c r="S22" s="448"/>
      <c r="T22" s="448"/>
      <c r="U22" s="448"/>
      <c r="V22" s="448"/>
      <c r="W22" s="448"/>
      <c r="X22" s="448"/>
      <c r="Y22" s="448"/>
      <c r="Z22" s="448"/>
      <c r="AA22" s="448"/>
      <c r="AB22" s="62" t="str">
        <f>'L. GENERAL'!S12</f>
        <v>TEAM GUANCHA</v>
      </c>
      <c r="AD22" s="7" t="s">
        <v>77</v>
      </c>
      <c r="AE22" s="448" t="str">
        <f>'L. GENERAL'!R12</f>
        <v>CRISTIAN SALAZAR</v>
      </c>
      <c r="AF22" s="448"/>
      <c r="AG22" s="448"/>
      <c r="AH22" s="448"/>
      <c r="AI22" s="448"/>
      <c r="AJ22" s="448"/>
      <c r="AK22" s="448"/>
      <c r="AL22" s="448"/>
      <c r="AM22" s="448"/>
      <c r="AN22" s="448"/>
      <c r="AO22" s="448"/>
      <c r="AP22" s="62" t="str">
        <f>'L. GENERAL'!S12</f>
        <v>TEAM GUANCHA</v>
      </c>
    </row>
    <row r="23" spans="2:42" ht="17.399999999999999" customHeight="1" x14ac:dyDescent="0.3">
      <c r="B23" s="7" t="s">
        <v>78</v>
      </c>
      <c r="C23" s="448" t="str">
        <f>'L. GENERAL'!R9</f>
        <v xml:space="preserve">ESTEBAN AYALA </v>
      </c>
      <c r="D23" s="448"/>
      <c r="E23" s="448"/>
      <c r="F23" s="448"/>
      <c r="G23" s="448"/>
      <c r="H23" s="448"/>
      <c r="I23" s="448"/>
      <c r="J23" s="448"/>
      <c r="K23" s="448"/>
      <c r="L23" s="448"/>
      <c r="M23" s="448"/>
      <c r="N23" s="62" t="str">
        <f>'L. GENERAL'!S9</f>
        <v>OFICINA</v>
      </c>
      <c r="O23" s="5"/>
      <c r="P23" s="7" t="s">
        <v>78</v>
      </c>
      <c r="Q23" s="448" t="str">
        <f>'L. GENERAL'!M13</f>
        <v>ALEX BURBANO</v>
      </c>
      <c r="R23" s="448"/>
      <c r="S23" s="448"/>
      <c r="T23" s="448"/>
      <c r="U23" s="448"/>
      <c r="V23" s="448"/>
      <c r="W23" s="448"/>
      <c r="X23" s="448"/>
      <c r="Y23" s="448"/>
      <c r="Z23" s="448"/>
      <c r="AA23" s="448"/>
      <c r="AB23" s="62" t="str">
        <f>'L. GENERAL'!S13</f>
        <v>TEAM GUANCHA</v>
      </c>
      <c r="AD23" s="7" t="s">
        <v>78</v>
      </c>
      <c r="AE23" s="448" t="str">
        <f>'L. GENERAL'!R13</f>
        <v>LESTER LEON</v>
      </c>
      <c r="AF23" s="448"/>
      <c r="AG23" s="448"/>
      <c r="AH23" s="448"/>
      <c r="AI23" s="448"/>
      <c r="AJ23" s="448"/>
      <c r="AK23" s="448"/>
      <c r="AL23" s="448"/>
      <c r="AM23" s="448"/>
      <c r="AN23" s="448"/>
      <c r="AO23" s="448"/>
      <c r="AP23" s="62" t="str">
        <f>'L. GENERAL'!S13</f>
        <v>TEAM GUANCHA</v>
      </c>
    </row>
    <row r="24" spans="2:42" ht="17.399999999999999" x14ac:dyDescent="0.3">
      <c r="B24" s="7" t="s">
        <v>79</v>
      </c>
      <c r="C24" s="435" t="str">
        <f>'L. GENERAL'!R10</f>
        <v>******</v>
      </c>
      <c r="D24" s="435"/>
      <c r="E24" s="435"/>
      <c r="F24" s="435"/>
      <c r="G24" s="435"/>
      <c r="H24" s="435"/>
      <c r="I24" s="435"/>
      <c r="J24" s="435"/>
      <c r="K24" s="435"/>
      <c r="L24" s="435"/>
      <c r="M24" s="435"/>
      <c r="N24" s="84" t="str">
        <f>'L. GENERAL'!S10</f>
        <v>DD</v>
      </c>
      <c r="O24" s="5"/>
      <c r="P24" s="7" t="s">
        <v>79</v>
      </c>
      <c r="Q24" s="435" t="str">
        <f>'L. GENERAL'!M14</f>
        <v>******</v>
      </c>
      <c r="R24" s="435"/>
      <c r="S24" s="435"/>
      <c r="T24" s="435"/>
      <c r="U24" s="435"/>
      <c r="V24" s="435"/>
      <c r="W24" s="435"/>
      <c r="X24" s="435"/>
      <c r="Y24" s="435"/>
      <c r="Z24" s="435"/>
      <c r="AA24" s="435"/>
      <c r="AB24" s="84" t="str">
        <f>'L. GENERAL'!N14</f>
        <v>EE</v>
      </c>
      <c r="AD24" s="7" t="s">
        <v>79</v>
      </c>
      <c r="AE24" s="435" t="str">
        <f>'L. GENERAL'!R14</f>
        <v>******</v>
      </c>
      <c r="AF24" s="435"/>
      <c r="AG24" s="435"/>
      <c r="AH24" s="435"/>
      <c r="AI24" s="435"/>
      <c r="AJ24" s="435"/>
      <c r="AK24" s="435"/>
      <c r="AL24" s="435"/>
      <c r="AM24" s="435"/>
      <c r="AN24" s="435"/>
      <c r="AO24" s="435"/>
      <c r="AP24" s="84" t="str">
        <f>'L. GENERAL'!S14</f>
        <v>FF</v>
      </c>
    </row>
    <row r="25" spans="2:42" ht="14.4" customHeight="1" thickBot="1" x14ac:dyDescent="0.35"/>
    <row r="26" spans="2:42" ht="18.600000000000001" thickBot="1" x14ac:dyDescent="0.4">
      <c r="C26" s="436" t="s">
        <v>83</v>
      </c>
      <c r="D26" s="437"/>
      <c r="E26" s="437"/>
      <c r="F26" s="437"/>
      <c r="G26" s="437"/>
      <c r="H26" s="437"/>
      <c r="I26" s="437"/>
      <c r="J26" s="437"/>
      <c r="K26" s="437"/>
      <c r="L26" s="437"/>
      <c r="M26" s="437"/>
      <c r="N26" s="438"/>
      <c r="Q26" s="439" t="s">
        <v>84</v>
      </c>
      <c r="R26" s="440"/>
      <c r="S26" s="440"/>
      <c r="T26" s="440"/>
      <c r="U26" s="440"/>
      <c r="V26" s="440"/>
      <c r="W26" s="440"/>
      <c r="X26" s="440"/>
      <c r="Y26" s="440"/>
      <c r="Z26" s="440"/>
      <c r="AA26" s="440"/>
      <c r="AB26" s="441"/>
      <c r="AE26" s="442" t="s">
        <v>85</v>
      </c>
      <c r="AF26" s="443"/>
      <c r="AG26" s="443"/>
      <c r="AH26" s="443"/>
      <c r="AI26" s="443"/>
      <c r="AJ26" s="443"/>
      <c r="AK26" s="443"/>
      <c r="AL26" s="443"/>
      <c r="AM26" s="443"/>
      <c r="AN26" s="443"/>
      <c r="AO26" s="443"/>
      <c r="AP26" s="444"/>
    </row>
    <row r="27" spans="2:42" ht="23.4" customHeight="1" thickBot="1" x14ac:dyDescent="0.5">
      <c r="C27" s="476">
        <f>C11</f>
        <v>45850</v>
      </c>
      <c r="D27" s="477"/>
      <c r="E27" s="477"/>
      <c r="F27" s="477"/>
      <c r="G27" s="477"/>
      <c r="H27" s="477"/>
      <c r="I27" s="477"/>
      <c r="J27" s="478"/>
      <c r="K27" s="427" t="s">
        <v>73</v>
      </c>
      <c r="L27" s="428"/>
      <c r="M27" s="428"/>
      <c r="N27" s="66"/>
      <c r="O27" s="6"/>
      <c r="Q27" s="479">
        <f>C11</f>
        <v>45850</v>
      </c>
      <c r="R27" s="480"/>
      <c r="S27" s="480"/>
      <c r="T27" s="480"/>
      <c r="U27" s="480"/>
      <c r="V27" s="480"/>
      <c r="W27" s="480"/>
      <c r="X27" s="481"/>
      <c r="Y27" s="429" t="s">
        <v>73</v>
      </c>
      <c r="Z27" s="430"/>
      <c r="AA27" s="430"/>
      <c r="AB27" s="71"/>
      <c r="AE27" s="482">
        <f>C11</f>
        <v>45850</v>
      </c>
      <c r="AF27" s="483"/>
      <c r="AG27" s="483"/>
      <c r="AH27" s="483"/>
      <c r="AI27" s="483"/>
      <c r="AJ27" s="483"/>
      <c r="AK27" s="483"/>
      <c r="AL27" s="484"/>
      <c r="AM27" s="431" t="s">
        <v>73</v>
      </c>
      <c r="AN27" s="432"/>
      <c r="AO27" s="432"/>
      <c r="AP27" s="76"/>
    </row>
    <row r="28" spans="2:42" s="16" customFormat="1" ht="17.399999999999999" customHeight="1" x14ac:dyDescent="0.3">
      <c r="C28" s="461" t="s">
        <v>74</v>
      </c>
      <c r="D28" s="462"/>
      <c r="E28" s="462"/>
      <c r="F28" s="462"/>
      <c r="G28" s="462"/>
      <c r="H28" s="462"/>
      <c r="I28" s="462"/>
      <c r="J28" s="462"/>
      <c r="K28" s="462"/>
      <c r="L28" s="462"/>
      <c r="M28" s="463"/>
      <c r="N28" s="211" t="s">
        <v>75</v>
      </c>
      <c r="Q28" s="461" t="s">
        <v>74</v>
      </c>
      <c r="R28" s="462"/>
      <c r="S28" s="462"/>
      <c r="T28" s="462"/>
      <c r="U28" s="462"/>
      <c r="V28" s="462"/>
      <c r="W28" s="462"/>
      <c r="X28" s="462"/>
      <c r="Y28" s="462"/>
      <c r="Z28" s="462"/>
      <c r="AA28" s="463"/>
      <c r="AB28" s="78" t="s">
        <v>75</v>
      </c>
      <c r="AE28" s="461" t="s">
        <v>74</v>
      </c>
      <c r="AF28" s="462"/>
      <c r="AG28" s="462"/>
      <c r="AH28" s="462"/>
      <c r="AI28" s="462"/>
      <c r="AJ28" s="462"/>
      <c r="AK28" s="462"/>
      <c r="AL28" s="462"/>
      <c r="AM28" s="462"/>
      <c r="AN28" s="462"/>
      <c r="AO28" s="463"/>
      <c r="AP28" s="211" t="s">
        <v>75</v>
      </c>
    </row>
    <row r="29" spans="2:42" s="81" customFormat="1" ht="18" x14ac:dyDescent="0.35">
      <c r="B29" s="19" t="s">
        <v>76</v>
      </c>
      <c r="C29" s="448" t="str">
        <f>'L. GENERAL'!M15</f>
        <v>EIVER GRIJALVA</v>
      </c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62" t="str">
        <f>'L. GENERAL'!N15</f>
        <v>OFICINA</v>
      </c>
      <c r="O29" s="80"/>
      <c r="P29" s="19" t="s">
        <v>76</v>
      </c>
      <c r="Q29" s="448" t="str">
        <f>'L. GENERAL'!R15</f>
        <v>ANDRES BEDOYA</v>
      </c>
      <c r="R29" s="448"/>
      <c r="S29" s="448"/>
      <c r="T29" s="448"/>
      <c r="U29" s="448"/>
      <c r="V29" s="448"/>
      <c r="W29" s="448"/>
      <c r="X29" s="448"/>
      <c r="Y29" s="448"/>
      <c r="Z29" s="448"/>
      <c r="AA29" s="448"/>
      <c r="AB29" s="62" t="str">
        <f>'L. GENERAL'!S15</f>
        <v>OFICINA</v>
      </c>
      <c r="AC29" s="82"/>
      <c r="AD29" s="19" t="s">
        <v>76</v>
      </c>
      <c r="AE29" s="448" t="str">
        <f>'L. GENERAL'!M19</f>
        <v>XXX</v>
      </c>
      <c r="AF29" s="448"/>
      <c r="AG29" s="448"/>
      <c r="AH29" s="448"/>
      <c r="AI29" s="448"/>
      <c r="AJ29" s="448"/>
      <c r="AK29" s="448"/>
      <c r="AL29" s="448"/>
      <c r="AM29" s="448"/>
      <c r="AN29" s="448"/>
      <c r="AO29" s="448"/>
      <c r="AP29" s="62" t="str">
        <f>'L. GENERAL'!N19</f>
        <v>XXX</v>
      </c>
    </row>
    <row r="30" spans="2:42" s="81" customFormat="1" ht="18" x14ac:dyDescent="0.35">
      <c r="B30" s="19" t="s">
        <v>77</v>
      </c>
      <c r="C30" s="448" t="str">
        <f>'L. GENERAL'!M16</f>
        <v>JUANCHO PAZMIÑO</v>
      </c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62" t="str">
        <f>'L. GENERAL'!N16</f>
        <v>ROMA</v>
      </c>
      <c r="O30" s="80"/>
      <c r="P30" s="19" t="s">
        <v>77</v>
      </c>
      <c r="Q30" s="448" t="str">
        <f>'L. GENERAL'!R16</f>
        <v>JULIO REINA</v>
      </c>
      <c r="R30" s="448"/>
      <c r="S30" s="448"/>
      <c r="T30" s="448"/>
      <c r="U30" s="448"/>
      <c r="V30" s="448"/>
      <c r="W30" s="448"/>
      <c r="X30" s="448"/>
      <c r="Y30" s="448"/>
      <c r="Z30" s="448"/>
      <c r="AA30" s="448"/>
      <c r="AB30" s="62" t="str">
        <f>'L. GENERAL'!S16</f>
        <v>ROMA</v>
      </c>
      <c r="AC30" s="82"/>
      <c r="AD30" s="19" t="s">
        <v>77</v>
      </c>
      <c r="AE30" s="448" t="str">
        <f>'L. GENERAL'!M20</f>
        <v>XXX</v>
      </c>
      <c r="AF30" s="448"/>
      <c r="AG30" s="448"/>
      <c r="AH30" s="448"/>
      <c r="AI30" s="448"/>
      <c r="AJ30" s="448"/>
      <c r="AK30" s="448"/>
      <c r="AL30" s="448"/>
      <c r="AM30" s="448"/>
      <c r="AN30" s="448"/>
      <c r="AO30" s="448"/>
      <c r="AP30" s="62" t="str">
        <f>'L. GENERAL'!N20</f>
        <v>XXX</v>
      </c>
    </row>
    <row r="31" spans="2:42" s="81" customFormat="1" ht="18" x14ac:dyDescent="0.35">
      <c r="B31" s="19" t="s">
        <v>78</v>
      </c>
      <c r="C31" s="448" t="str">
        <f>'L. GENERAL'!M17</f>
        <v>RICARDO VELA</v>
      </c>
      <c r="D31" s="448"/>
      <c r="E31" s="448"/>
      <c r="F31" s="448"/>
      <c r="G31" s="448"/>
      <c r="H31" s="448"/>
      <c r="I31" s="448"/>
      <c r="J31" s="448"/>
      <c r="K31" s="448"/>
      <c r="L31" s="448"/>
      <c r="M31" s="448"/>
      <c r="N31" s="62" t="str">
        <f>'L. GENERAL'!N17</f>
        <v>OFICINA</v>
      </c>
      <c r="O31" s="80"/>
      <c r="P31" s="19" t="s">
        <v>78</v>
      </c>
      <c r="Q31" s="448" t="str">
        <f>'L. GENERAL'!R17</f>
        <v>GABRIEL ORTIZ</v>
      </c>
      <c r="R31" s="448"/>
      <c r="S31" s="448"/>
      <c r="T31" s="448"/>
      <c r="U31" s="448"/>
      <c r="V31" s="448"/>
      <c r="W31" s="448"/>
      <c r="X31" s="448"/>
      <c r="Y31" s="448"/>
      <c r="Z31" s="448"/>
      <c r="AA31" s="448"/>
      <c r="AB31" s="62" t="str">
        <f>'L. GENERAL'!S17</f>
        <v>OFICINA</v>
      </c>
      <c r="AC31" s="82"/>
      <c r="AD31" s="19" t="s">
        <v>78</v>
      </c>
      <c r="AE31" s="448" t="str">
        <f>'L. GENERAL'!M21</f>
        <v>XXX</v>
      </c>
      <c r="AF31" s="448"/>
      <c r="AG31" s="448"/>
      <c r="AH31" s="448"/>
      <c r="AI31" s="448"/>
      <c r="AJ31" s="448"/>
      <c r="AK31" s="448"/>
      <c r="AL31" s="448"/>
      <c r="AM31" s="448"/>
      <c r="AN31" s="448"/>
      <c r="AO31" s="448"/>
      <c r="AP31" s="62" t="str">
        <f>'L. GENERAL'!N21</f>
        <v>XXX</v>
      </c>
    </row>
    <row r="32" spans="2:42" s="81" customFormat="1" ht="17.399999999999999" customHeight="1" x14ac:dyDescent="0.35">
      <c r="B32" s="19" t="s">
        <v>79</v>
      </c>
      <c r="C32" s="435" t="str">
        <f>'L. GENERAL'!M18</f>
        <v>******</v>
      </c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84" t="str">
        <f>'L. GENERAL'!N18</f>
        <v>GG</v>
      </c>
      <c r="O32" s="80"/>
      <c r="P32" s="19" t="s">
        <v>79</v>
      </c>
      <c r="Q32" s="435" t="str">
        <f>'L. GENERAL'!R18</f>
        <v>******</v>
      </c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84" t="str">
        <f>'L. GENERAL'!S18</f>
        <v>HH</v>
      </c>
      <c r="AC32" s="82"/>
      <c r="AD32" s="19" t="s">
        <v>79</v>
      </c>
      <c r="AE32" s="435" t="str">
        <f>'L. GENERAL'!M22</f>
        <v>*****</v>
      </c>
      <c r="AF32" s="435"/>
      <c r="AG32" s="435"/>
      <c r="AH32" s="435"/>
      <c r="AI32" s="435"/>
      <c r="AJ32" s="435"/>
      <c r="AK32" s="435"/>
      <c r="AL32" s="435"/>
      <c r="AM32" s="435"/>
      <c r="AN32" s="435"/>
      <c r="AO32" s="435"/>
      <c r="AP32" s="84" t="str">
        <f>'L. GENERAL'!N22</f>
        <v>II</v>
      </c>
    </row>
    <row r="33" spans="2:42" ht="14.4" customHeight="1" thickBot="1" x14ac:dyDescent="0.3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spans="2:42" ht="18.600000000000001" thickBot="1" x14ac:dyDescent="0.4">
      <c r="B34" s="8"/>
      <c r="C34" s="445" t="s">
        <v>86</v>
      </c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7"/>
      <c r="O34" s="8"/>
      <c r="P34" s="8"/>
      <c r="Q34" s="470" t="s">
        <v>87</v>
      </c>
      <c r="R34" s="471"/>
      <c r="S34" s="471"/>
      <c r="T34" s="471"/>
      <c r="U34" s="471"/>
      <c r="V34" s="471"/>
      <c r="W34" s="471"/>
      <c r="X34" s="471"/>
      <c r="Y34" s="471"/>
      <c r="Z34" s="471"/>
      <c r="AA34" s="471"/>
      <c r="AB34" s="472"/>
      <c r="AC34" s="8"/>
      <c r="AD34" s="8"/>
      <c r="AE34" s="473" t="s">
        <v>88</v>
      </c>
      <c r="AF34" s="474"/>
      <c r="AG34" s="474"/>
      <c r="AH34" s="474"/>
      <c r="AI34" s="474"/>
      <c r="AJ34" s="474"/>
      <c r="AK34" s="474"/>
      <c r="AL34" s="474"/>
      <c r="AM34" s="474"/>
      <c r="AN34" s="474"/>
      <c r="AO34" s="474"/>
      <c r="AP34" s="475"/>
    </row>
    <row r="35" spans="2:42" ht="24" customHeight="1" thickBot="1" x14ac:dyDescent="0.5">
      <c r="B35" s="8"/>
      <c r="C35" s="519">
        <f>C11</f>
        <v>45850</v>
      </c>
      <c r="D35" s="520"/>
      <c r="E35" s="520"/>
      <c r="F35" s="520"/>
      <c r="G35" s="520"/>
      <c r="H35" s="520"/>
      <c r="I35" s="520"/>
      <c r="J35" s="521"/>
      <c r="K35" s="410" t="s">
        <v>73</v>
      </c>
      <c r="L35" s="411"/>
      <c r="M35" s="411"/>
      <c r="N35" s="67"/>
      <c r="O35" s="9"/>
      <c r="P35" s="8"/>
      <c r="Q35" s="522">
        <f>C11</f>
        <v>45850</v>
      </c>
      <c r="R35" s="523"/>
      <c r="S35" s="523"/>
      <c r="T35" s="523"/>
      <c r="U35" s="523"/>
      <c r="V35" s="523"/>
      <c r="W35" s="523"/>
      <c r="X35" s="524"/>
      <c r="Y35" s="412" t="s">
        <v>73</v>
      </c>
      <c r="Z35" s="413"/>
      <c r="AA35" s="413"/>
      <c r="AB35" s="72"/>
      <c r="AC35" s="8"/>
      <c r="AD35" s="8"/>
      <c r="AE35" s="525">
        <f>C11</f>
        <v>45850</v>
      </c>
      <c r="AF35" s="526"/>
      <c r="AG35" s="526"/>
      <c r="AH35" s="526"/>
      <c r="AI35" s="526"/>
      <c r="AJ35" s="526"/>
      <c r="AK35" s="526"/>
      <c r="AL35" s="527"/>
      <c r="AM35" s="414" t="s">
        <v>73</v>
      </c>
      <c r="AN35" s="415"/>
      <c r="AO35" s="415"/>
      <c r="AP35" s="77"/>
    </row>
    <row r="36" spans="2:42" s="16" customFormat="1" ht="17.399999999999999" customHeight="1" x14ac:dyDescent="0.3">
      <c r="C36" s="461" t="s">
        <v>74</v>
      </c>
      <c r="D36" s="462"/>
      <c r="E36" s="462"/>
      <c r="F36" s="462"/>
      <c r="G36" s="462"/>
      <c r="H36" s="462"/>
      <c r="I36" s="462"/>
      <c r="J36" s="462"/>
      <c r="K36" s="462"/>
      <c r="L36" s="462"/>
      <c r="M36" s="463"/>
      <c r="N36" s="211" t="s">
        <v>75</v>
      </c>
      <c r="Q36" s="461" t="s">
        <v>74</v>
      </c>
      <c r="R36" s="462"/>
      <c r="S36" s="462"/>
      <c r="T36" s="462"/>
      <c r="U36" s="462"/>
      <c r="V36" s="462"/>
      <c r="W36" s="462"/>
      <c r="X36" s="462"/>
      <c r="Y36" s="462"/>
      <c r="Z36" s="462"/>
      <c r="AA36" s="463"/>
      <c r="AB36" s="211" t="s">
        <v>75</v>
      </c>
      <c r="AE36" s="461" t="s">
        <v>74</v>
      </c>
      <c r="AF36" s="462"/>
      <c r="AG36" s="462"/>
      <c r="AH36" s="462"/>
      <c r="AI36" s="462"/>
      <c r="AJ36" s="462"/>
      <c r="AK36" s="462"/>
      <c r="AL36" s="462"/>
      <c r="AM36" s="462"/>
      <c r="AN36" s="462"/>
      <c r="AO36" s="463"/>
      <c r="AP36" s="211" t="s">
        <v>75</v>
      </c>
    </row>
    <row r="37" spans="2:42" s="81" customFormat="1" ht="18" x14ac:dyDescent="0.35">
      <c r="B37" s="19" t="s">
        <v>76</v>
      </c>
      <c r="C37" s="448">
        <f>'L. GENERAL'!R19</f>
        <v>28</v>
      </c>
      <c r="D37" s="448"/>
      <c r="E37" s="448"/>
      <c r="F37" s="448"/>
      <c r="G37" s="448"/>
      <c r="H37" s="448"/>
      <c r="I37" s="448"/>
      <c r="J37" s="448"/>
      <c r="K37" s="448"/>
      <c r="L37" s="448"/>
      <c r="M37" s="448"/>
      <c r="N37" s="62" t="str">
        <f>'L. GENERAL'!S19</f>
        <v>A</v>
      </c>
      <c r="O37" s="80"/>
      <c r="P37" s="19" t="s">
        <v>76</v>
      </c>
      <c r="Q37" s="448">
        <f>'L. GENERAL'!M23</f>
        <v>31</v>
      </c>
      <c r="R37" s="448"/>
      <c r="S37" s="448"/>
      <c r="T37" s="448"/>
      <c r="U37" s="448"/>
      <c r="V37" s="448"/>
      <c r="W37" s="448"/>
      <c r="X37" s="448"/>
      <c r="Y37" s="448"/>
      <c r="Z37" s="448"/>
      <c r="AA37" s="448"/>
      <c r="AB37" s="62" t="str">
        <f>'L. GENERAL'!N23</f>
        <v>A</v>
      </c>
      <c r="AC37" s="82"/>
      <c r="AD37" s="19" t="s">
        <v>76</v>
      </c>
      <c r="AE37" s="448">
        <f>'L. GENERAL'!R23</f>
        <v>34</v>
      </c>
      <c r="AF37" s="448"/>
      <c r="AG37" s="448"/>
      <c r="AH37" s="448"/>
      <c r="AI37" s="448"/>
      <c r="AJ37" s="448"/>
      <c r="AK37" s="448"/>
      <c r="AL37" s="448"/>
      <c r="AM37" s="448"/>
      <c r="AN37" s="448"/>
      <c r="AO37" s="448"/>
      <c r="AP37" s="62" t="str">
        <f>'L. GENERAL'!S23</f>
        <v>A</v>
      </c>
    </row>
    <row r="38" spans="2:42" s="81" customFormat="1" ht="18" x14ac:dyDescent="0.35">
      <c r="B38" s="19" t="s">
        <v>77</v>
      </c>
      <c r="C38" s="448">
        <f>'L. GENERAL'!R20</f>
        <v>29</v>
      </c>
      <c r="D38" s="448"/>
      <c r="E38" s="448"/>
      <c r="F38" s="448"/>
      <c r="G38" s="448"/>
      <c r="H38" s="448"/>
      <c r="I38" s="448"/>
      <c r="J38" s="448"/>
      <c r="K38" s="448"/>
      <c r="L38" s="448"/>
      <c r="M38" s="448"/>
      <c r="N38" s="62" t="str">
        <f>'L. GENERAL'!S20</f>
        <v>B</v>
      </c>
      <c r="O38" s="80"/>
      <c r="P38" s="19" t="s">
        <v>77</v>
      </c>
      <c r="Q38" s="448">
        <f>'L. GENERAL'!M24</f>
        <v>32</v>
      </c>
      <c r="R38" s="448"/>
      <c r="S38" s="448"/>
      <c r="T38" s="448"/>
      <c r="U38" s="448"/>
      <c r="V38" s="448"/>
      <c r="W38" s="448"/>
      <c r="X38" s="448"/>
      <c r="Y38" s="448"/>
      <c r="Z38" s="448"/>
      <c r="AA38" s="448"/>
      <c r="AB38" s="62" t="str">
        <f>'L. GENERAL'!N24</f>
        <v>B</v>
      </c>
      <c r="AC38" s="82"/>
      <c r="AD38" s="19" t="s">
        <v>77</v>
      </c>
      <c r="AE38" s="448">
        <f>'L. GENERAL'!R24</f>
        <v>35</v>
      </c>
      <c r="AF38" s="448"/>
      <c r="AG38" s="448"/>
      <c r="AH38" s="448"/>
      <c r="AI38" s="448"/>
      <c r="AJ38" s="448"/>
      <c r="AK38" s="448"/>
      <c r="AL38" s="448"/>
      <c r="AM38" s="448"/>
      <c r="AN38" s="448"/>
      <c r="AO38" s="448"/>
      <c r="AP38" s="62" t="str">
        <f>'L. GENERAL'!S24</f>
        <v>B</v>
      </c>
    </row>
    <row r="39" spans="2:42" s="81" customFormat="1" ht="18" x14ac:dyDescent="0.35">
      <c r="B39" s="19" t="s">
        <v>78</v>
      </c>
      <c r="C39" s="448">
        <f>'L. GENERAL'!R21</f>
        <v>30</v>
      </c>
      <c r="D39" s="448"/>
      <c r="E39" s="448"/>
      <c r="F39" s="448"/>
      <c r="G39" s="448"/>
      <c r="H39" s="448"/>
      <c r="I39" s="448"/>
      <c r="J39" s="448"/>
      <c r="K39" s="448"/>
      <c r="L39" s="448"/>
      <c r="M39" s="448"/>
      <c r="N39" s="62" t="str">
        <f>'L. GENERAL'!S21</f>
        <v>C</v>
      </c>
      <c r="O39" s="80"/>
      <c r="P39" s="19" t="s">
        <v>78</v>
      </c>
      <c r="Q39" s="448">
        <f>'L. GENERAL'!M25</f>
        <v>33</v>
      </c>
      <c r="R39" s="448"/>
      <c r="S39" s="448"/>
      <c r="T39" s="448"/>
      <c r="U39" s="448"/>
      <c r="V39" s="448"/>
      <c r="W39" s="448"/>
      <c r="X39" s="448"/>
      <c r="Y39" s="448"/>
      <c r="Z39" s="448"/>
      <c r="AA39" s="448"/>
      <c r="AB39" s="62" t="str">
        <f>'L. GENERAL'!N25</f>
        <v>C</v>
      </c>
      <c r="AC39" s="82"/>
      <c r="AD39" s="19" t="s">
        <v>78</v>
      </c>
      <c r="AE39" s="448">
        <f>'L. GENERAL'!R25</f>
        <v>36</v>
      </c>
      <c r="AF39" s="448"/>
      <c r="AG39" s="448"/>
      <c r="AH39" s="448"/>
      <c r="AI39" s="448"/>
      <c r="AJ39" s="448"/>
      <c r="AK39" s="448"/>
      <c r="AL39" s="448"/>
      <c r="AM39" s="448"/>
      <c r="AN39" s="448"/>
      <c r="AO39" s="448"/>
      <c r="AP39" s="62" t="str">
        <f>'L. GENERAL'!S25</f>
        <v>C</v>
      </c>
    </row>
    <row r="40" spans="2:42" s="81" customFormat="1" ht="18" x14ac:dyDescent="0.35">
      <c r="B40" s="19" t="s">
        <v>79</v>
      </c>
      <c r="C40" s="435" t="str">
        <f>'L. GENERAL'!R22</f>
        <v>******</v>
      </c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84" t="str">
        <f>'L. GENERAL'!S22</f>
        <v>JJ</v>
      </c>
      <c r="O40" s="80"/>
      <c r="P40" s="19" t="s">
        <v>79</v>
      </c>
      <c r="Q40" s="435" t="str">
        <f>'L. GENERAL'!M26</f>
        <v>******</v>
      </c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84" t="str">
        <f>'L. GENERAL'!N26</f>
        <v>KK</v>
      </c>
      <c r="AC40" s="82"/>
      <c r="AD40" s="19" t="s">
        <v>79</v>
      </c>
      <c r="AE40" s="435" t="str">
        <f>'L. GENERAL'!R26</f>
        <v>******</v>
      </c>
      <c r="AF40" s="435"/>
      <c r="AG40" s="435"/>
      <c r="AH40" s="435"/>
      <c r="AI40" s="435"/>
      <c r="AJ40" s="435"/>
      <c r="AK40" s="435"/>
      <c r="AL40" s="435"/>
      <c r="AM40" s="435"/>
      <c r="AN40" s="435"/>
      <c r="AO40" s="435"/>
      <c r="AP40" s="84" t="str">
        <f>'L. GENERAL'!S26</f>
        <v>LL</v>
      </c>
    </row>
    <row r="41" spans="2:42" ht="15" thickBot="1" x14ac:dyDescent="0.3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spans="2:42" ht="18.600000000000001" thickBot="1" x14ac:dyDescent="0.4">
      <c r="C42" s="449" t="s">
        <v>89</v>
      </c>
      <c r="D42" s="450"/>
      <c r="E42" s="450"/>
      <c r="F42" s="450"/>
      <c r="G42" s="450"/>
      <c r="H42" s="450"/>
      <c r="I42" s="450"/>
      <c r="J42" s="450"/>
      <c r="K42" s="450"/>
      <c r="L42" s="450"/>
      <c r="M42" s="450"/>
      <c r="N42" s="451"/>
      <c r="O42" s="8"/>
      <c r="P42" s="8"/>
      <c r="Q42" s="452" t="s">
        <v>90</v>
      </c>
      <c r="R42" s="453"/>
      <c r="S42" s="453"/>
      <c r="T42" s="453"/>
      <c r="U42" s="453"/>
      <c r="V42" s="453"/>
      <c r="W42" s="453"/>
      <c r="X42" s="453"/>
      <c r="Y42" s="453"/>
      <c r="Z42" s="453"/>
      <c r="AA42" s="453"/>
      <c r="AB42" s="454"/>
      <c r="AC42" s="8"/>
    </row>
    <row r="43" spans="2:42" ht="24" thickBot="1" x14ac:dyDescent="0.5">
      <c r="C43" s="455">
        <f>C11</f>
        <v>45850</v>
      </c>
      <c r="D43" s="456"/>
      <c r="E43" s="456"/>
      <c r="F43" s="456"/>
      <c r="G43" s="456"/>
      <c r="H43" s="456"/>
      <c r="I43" s="456"/>
      <c r="J43" s="457"/>
      <c r="K43" s="417" t="s">
        <v>73</v>
      </c>
      <c r="L43" s="418"/>
      <c r="M43" s="418"/>
      <c r="N43" s="68"/>
      <c r="O43" s="9"/>
      <c r="P43" s="8"/>
      <c r="Q43" s="458">
        <f>C11</f>
        <v>45850</v>
      </c>
      <c r="R43" s="459"/>
      <c r="S43" s="459"/>
      <c r="T43" s="459"/>
      <c r="U43" s="459"/>
      <c r="V43" s="459"/>
      <c r="W43" s="459"/>
      <c r="X43" s="460"/>
      <c r="Y43" s="416" t="s">
        <v>73</v>
      </c>
      <c r="Z43" s="416"/>
      <c r="AA43" s="416"/>
      <c r="AB43" s="73"/>
      <c r="AC43" s="8"/>
    </row>
    <row r="44" spans="2:42" s="16" customFormat="1" x14ac:dyDescent="0.3">
      <c r="C44" s="461" t="s">
        <v>74</v>
      </c>
      <c r="D44" s="462"/>
      <c r="E44" s="462"/>
      <c r="F44" s="462"/>
      <c r="G44" s="462"/>
      <c r="H44" s="462"/>
      <c r="I44" s="462"/>
      <c r="J44" s="462"/>
      <c r="K44" s="462"/>
      <c r="L44" s="462"/>
      <c r="M44" s="463"/>
      <c r="N44" s="211" t="s">
        <v>75</v>
      </c>
      <c r="Q44" s="461" t="s">
        <v>74</v>
      </c>
      <c r="R44" s="462"/>
      <c r="S44" s="462"/>
      <c r="T44" s="462"/>
      <c r="U44" s="462"/>
      <c r="V44" s="462"/>
      <c r="W44" s="462"/>
      <c r="X44" s="462"/>
      <c r="Y44" s="462"/>
      <c r="Z44" s="462"/>
      <c r="AA44" s="463"/>
      <c r="AB44" s="78" t="s">
        <v>75</v>
      </c>
      <c r="AP44" s="15"/>
    </row>
    <row r="45" spans="2:42" s="81" customFormat="1" ht="18" x14ac:dyDescent="0.35">
      <c r="B45" s="19" t="s">
        <v>76</v>
      </c>
      <c r="C45" s="448">
        <f>'L. GENERAL'!M27</f>
        <v>37</v>
      </c>
      <c r="D45" s="448"/>
      <c r="E45" s="448"/>
      <c r="F45" s="448"/>
      <c r="G45" s="448"/>
      <c r="H45" s="448"/>
      <c r="I45" s="448"/>
      <c r="J45" s="448"/>
      <c r="K45" s="448"/>
      <c r="L45" s="448"/>
      <c r="M45" s="448"/>
      <c r="N45" s="62" t="str">
        <f>'L. GENERAL'!N27</f>
        <v>A</v>
      </c>
      <c r="O45" s="80"/>
      <c r="P45" s="19" t="s">
        <v>76</v>
      </c>
      <c r="Q45" s="448">
        <f>'L. GENERAL'!R27</f>
        <v>40</v>
      </c>
      <c r="R45" s="448"/>
      <c r="S45" s="448"/>
      <c r="T45" s="448"/>
      <c r="U45" s="448"/>
      <c r="V45" s="448"/>
      <c r="W45" s="448"/>
      <c r="X45" s="448"/>
      <c r="Y45" s="448"/>
      <c r="Z45" s="448"/>
      <c r="AA45" s="448"/>
      <c r="AB45" s="62" t="str">
        <f>'L. GENERAL'!S27</f>
        <v>A</v>
      </c>
      <c r="AC45" s="82"/>
      <c r="AP45" s="83"/>
    </row>
    <row r="46" spans="2:42" s="81" customFormat="1" ht="18" x14ac:dyDescent="0.35">
      <c r="B46" s="19" t="s">
        <v>77</v>
      </c>
      <c r="C46" s="448">
        <f>'L. GENERAL'!M28</f>
        <v>38</v>
      </c>
      <c r="D46" s="448"/>
      <c r="E46" s="448"/>
      <c r="F46" s="448"/>
      <c r="G46" s="448"/>
      <c r="H46" s="448"/>
      <c r="I46" s="448"/>
      <c r="J46" s="448"/>
      <c r="K46" s="448"/>
      <c r="L46" s="448"/>
      <c r="M46" s="448"/>
      <c r="N46" s="62" t="str">
        <f>'L. GENERAL'!N28</f>
        <v>B</v>
      </c>
      <c r="O46" s="80"/>
      <c r="P46" s="19" t="s">
        <v>77</v>
      </c>
      <c r="Q46" s="448">
        <f>'L. GENERAL'!R28</f>
        <v>41</v>
      </c>
      <c r="R46" s="448"/>
      <c r="S46" s="448"/>
      <c r="T46" s="448"/>
      <c r="U46" s="448"/>
      <c r="V46" s="448"/>
      <c r="W46" s="448"/>
      <c r="X46" s="448"/>
      <c r="Y46" s="448"/>
      <c r="Z46" s="448"/>
      <c r="AA46" s="448"/>
      <c r="AB46" s="62" t="str">
        <f>'L. GENERAL'!S28</f>
        <v>B</v>
      </c>
      <c r="AC46" s="82"/>
      <c r="AP46" s="83"/>
    </row>
    <row r="47" spans="2:42" s="81" customFormat="1" ht="18" x14ac:dyDescent="0.35">
      <c r="B47" s="19" t="s">
        <v>78</v>
      </c>
      <c r="C47" s="448">
        <f>'L. GENERAL'!M29</f>
        <v>39</v>
      </c>
      <c r="D47" s="448"/>
      <c r="E47" s="448"/>
      <c r="F47" s="448"/>
      <c r="G47" s="448"/>
      <c r="H47" s="448"/>
      <c r="I47" s="448"/>
      <c r="J47" s="448"/>
      <c r="K47" s="448"/>
      <c r="L47" s="448"/>
      <c r="M47" s="448"/>
      <c r="N47" s="62" t="str">
        <f>'L. GENERAL'!S25</f>
        <v>C</v>
      </c>
      <c r="O47" s="80"/>
      <c r="P47" s="19" t="s">
        <v>78</v>
      </c>
      <c r="Q47" s="448">
        <f>'L. GENERAL'!R29</f>
        <v>42</v>
      </c>
      <c r="R47" s="448"/>
      <c r="S47" s="448"/>
      <c r="T47" s="448"/>
      <c r="U47" s="448"/>
      <c r="V47" s="448"/>
      <c r="W47" s="448"/>
      <c r="X47" s="448"/>
      <c r="Y47" s="448"/>
      <c r="Z47" s="448"/>
      <c r="AA47" s="448"/>
      <c r="AB47" s="62" t="str">
        <f>'L. GENERAL'!S29</f>
        <v>C</v>
      </c>
      <c r="AC47" s="82"/>
      <c r="AP47" s="83"/>
    </row>
    <row r="48" spans="2:42" s="81" customFormat="1" ht="18" x14ac:dyDescent="0.35">
      <c r="B48" s="19" t="s">
        <v>79</v>
      </c>
      <c r="C48" s="435" t="str">
        <f>'L. GENERAL'!M30</f>
        <v>******</v>
      </c>
      <c r="D48" s="435"/>
      <c r="E48" s="435"/>
      <c r="F48" s="435"/>
      <c r="G48" s="435"/>
      <c r="H48" s="435"/>
      <c r="I48" s="435"/>
      <c r="J48" s="435"/>
      <c r="K48" s="435"/>
      <c r="L48" s="435"/>
      <c r="M48" s="435"/>
      <c r="N48" s="84" t="str">
        <f>'L. GENERAL'!N30</f>
        <v>MM</v>
      </c>
      <c r="O48" s="80"/>
      <c r="P48" s="19" t="s">
        <v>79</v>
      </c>
      <c r="Q48" s="435" t="str">
        <f>'L. GENERAL'!R30</f>
        <v>******</v>
      </c>
      <c r="R48" s="435"/>
      <c r="S48" s="435"/>
      <c r="T48" s="435"/>
      <c r="U48" s="435"/>
      <c r="V48" s="435"/>
      <c r="W48" s="435"/>
      <c r="X48" s="435"/>
      <c r="Y48" s="435"/>
      <c r="Z48" s="435"/>
      <c r="AA48" s="435"/>
      <c r="AB48" s="84" t="str">
        <f>'L. GENERAL'!S30</f>
        <v>NN</v>
      </c>
      <c r="AC48" s="82"/>
      <c r="AP48" s="83"/>
    </row>
  </sheetData>
  <mergeCells count="117">
    <mergeCell ref="C35:J35"/>
    <mergeCell ref="C40:M40"/>
    <mergeCell ref="Q40:AA40"/>
    <mergeCell ref="AE40:AO40"/>
    <mergeCell ref="C36:M36"/>
    <mergeCell ref="Q36:AA36"/>
    <mergeCell ref="AE36:AO36"/>
    <mergeCell ref="C37:M37"/>
    <mergeCell ref="Q37:AA37"/>
    <mergeCell ref="AE37:AO37"/>
    <mergeCell ref="C38:M38"/>
    <mergeCell ref="Q38:AA38"/>
    <mergeCell ref="AE38:AO38"/>
    <mergeCell ref="C39:M39"/>
    <mergeCell ref="Q39:AA39"/>
    <mergeCell ref="AE39:AO39"/>
    <mergeCell ref="Q35:X35"/>
    <mergeCell ref="AE35:AL35"/>
    <mergeCell ref="C23:M23"/>
    <mergeCell ref="Q23:AA23"/>
    <mergeCell ref="AE23:AO23"/>
    <mergeCell ref="C15:M15"/>
    <mergeCell ref="C16:M16"/>
    <mergeCell ref="C13:M13"/>
    <mergeCell ref="C14:M14"/>
    <mergeCell ref="AE22:AO22"/>
    <mergeCell ref="AE20:AO20"/>
    <mergeCell ref="AE21:AO21"/>
    <mergeCell ref="C19:J19"/>
    <mergeCell ref="K19:M19"/>
    <mergeCell ref="Q19:X19"/>
    <mergeCell ref="AE19:AL19"/>
    <mergeCell ref="C18:N18"/>
    <mergeCell ref="Q15:AA15"/>
    <mergeCell ref="Q18:AB18"/>
    <mergeCell ref="AE18:AP18"/>
    <mergeCell ref="Q16:AA16"/>
    <mergeCell ref="AE14:AO14"/>
    <mergeCell ref="AE15:AO15"/>
    <mergeCell ref="AE16:AO16"/>
    <mergeCell ref="Q13:AA13"/>
    <mergeCell ref="C10:N10"/>
    <mergeCell ref="C12:M12"/>
    <mergeCell ref="C11:J11"/>
    <mergeCell ref="Q10:AB10"/>
    <mergeCell ref="Q11:X11"/>
    <mergeCell ref="Q12:AA12"/>
    <mergeCell ref="C22:M22"/>
    <mergeCell ref="Q22:AA22"/>
    <mergeCell ref="C20:M20"/>
    <mergeCell ref="Q20:AA20"/>
    <mergeCell ref="C21:M21"/>
    <mergeCell ref="Q21:AA21"/>
    <mergeCell ref="Q14:AA14"/>
    <mergeCell ref="K11:M11"/>
    <mergeCell ref="AE10:AP10"/>
    <mergeCell ref="AE11:AL11"/>
    <mergeCell ref="AE12:AO12"/>
    <mergeCell ref="AE13:AO13"/>
    <mergeCell ref="Q34:AB34"/>
    <mergeCell ref="AE34:AP34"/>
    <mergeCell ref="C28:M28"/>
    <mergeCell ref="Q28:AA28"/>
    <mergeCell ref="AE28:AO28"/>
    <mergeCell ref="C29:M29"/>
    <mergeCell ref="Q29:AA29"/>
    <mergeCell ref="AE29:AO29"/>
    <mergeCell ref="C27:J27"/>
    <mergeCell ref="Q27:X27"/>
    <mergeCell ref="AE27:AL27"/>
    <mergeCell ref="C30:M30"/>
    <mergeCell ref="Q30:AA30"/>
    <mergeCell ref="AE30:AO30"/>
    <mergeCell ref="Q32:AA32"/>
    <mergeCell ref="AE32:AO32"/>
    <mergeCell ref="C31:M31"/>
    <mergeCell ref="Q31:AA31"/>
    <mergeCell ref="AE31:AO31"/>
    <mergeCell ref="C32:M32"/>
    <mergeCell ref="C47:M47"/>
    <mergeCell ref="Q47:AA47"/>
    <mergeCell ref="C48:M48"/>
    <mergeCell ref="Q48:AA48"/>
    <mergeCell ref="C45:M45"/>
    <mergeCell ref="Q45:AA45"/>
    <mergeCell ref="C46:M46"/>
    <mergeCell ref="Q46:AA46"/>
    <mergeCell ref="C42:N42"/>
    <mergeCell ref="Q42:AB42"/>
    <mergeCell ref="C43:J43"/>
    <mergeCell ref="Q43:X43"/>
    <mergeCell ref="C44:M44"/>
    <mergeCell ref="Q44:AA44"/>
    <mergeCell ref="AB2:AP5"/>
    <mergeCell ref="Y2:AA5"/>
    <mergeCell ref="Y6:AP7"/>
    <mergeCell ref="K35:M35"/>
    <mergeCell ref="Y35:AA35"/>
    <mergeCell ref="AM35:AO35"/>
    <mergeCell ref="Y43:AA43"/>
    <mergeCell ref="K43:M43"/>
    <mergeCell ref="Y11:AA11"/>
    <mergeCell ref="AM11:AO11"/>
    <mergeCell ref="AM19:AO19"/>
    <mergeCell ref="Y19:AA19"/>
    <mergeCell ref="K27:M27"/>
    <mergeCell ref="Y27:AA27"/>
    <mergeCell ref="AM27:AO27"/>
    <mergeCell ref="C8:V9"/>
    <mergeCell ref="W8:AP9"/>
    <mergeCell ref="C24:M24"/>
    <mergeCell ref="Q24:AA24"/>
    <mergeCell ref="AE24:AO24"/>
    <mergeCell ref="C26:N26"/>
    <mergeCell ref="Q26:AB26"/>
    <mergeCell ref="AE26:AP26"/>
    <mergeCell ref="C34:N34"/>
  </mergeCells>
  <pageMargins left="0" right="0" top="0" bottom="0" header="0.31496062992125984" footer="0.31496062992125984"/>
  <pageSetup scale="6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D90A-6954-4A9E-8BD0-41071E604C4D}">
  <sheetPr>
    <pageSetUpPr fitToPage="1"/>
  </sheetPr>
  <dimension ref="A1:S32"/>
  <sheetViews>
    <sheetView topLeftCell="A10" zoomScale="85" zoomScaleNormal="85" zoomScaleSheetLayoutView="100" workbookViewId="0">
      <selection activeCell="B16" sqref="B16:I16"/>
    </sheetView>
  </sheetViews>
  <sheetFormatPr baseColWidth="10" defaultColWidth="8.88671875" defaultRowHeight="14.4" x14ac:dyDescent="0.3"/>
  <cols>
    <col min="1" max="1" width="4.33203125" bestFit="1" customWidth="1"/>
    <col min="2" max="2" width="30.6640625" customWidth="1"/>
    <col min="3" max="3" width="19.44140625" style="12" bestFit="1" customWidth="1"/>
    <col min="4" max="4" width="8.77734375" style="12" bestFit="1" customWidth="1"/>
    <col min="5" max="5" width="4.5546875" style="12" bestFit="1" customWidth="1"/>
    <col min="6" max="6" width="4" style="12" bestFit="1" customWidth="1"/>
    <col min="7" max="7" width="5.21875" style="12" bestFit="1" customWidth="1"/>
    <col min="8" max="8" width="8.88671875" style="3" bestFit="1" customWidth="1"/>
    <col min="9" max="9" width="12.21875" bestFit="1" customWidth="1"/>
    <col min="10" max="10" width="11.88671875" customWidth="1"/>
    <col min="11" max="11" width="7.6640625" bestFit="1" customWidth="1"/>
    <col min="12" max="12" width="3.33203125" style="2" bestFit="1" customWidth="1"/>
    <col min="13" max="13" width="30.6640625" customWidth="1"/>
    <col min="14" max="14" width="19.6640625" bestFit="1" customWidth="1"/>
    <col min="15" max="15" width="1.88671875" style="2" customWidth="1"/>
    <col min="16" max="16" width="8.109375" bestFit="1" customWidth="1"/>
    <col min="17" max="17" width="3.33203125" bestFit="1" customWidth="1"/>
    <col min="18" max="18" width="30.6640625" customWidth="1"/>
    <col min="19" max="19" width="19.6640625" bestFit="1" customWidth="1"/>
  </cols>
  <sheetData>
    <row r="1" spans="1:19" s="1" customFormat="1" ht="22.2" thickBot="1" x14ac:dyDescent="0.5">
      <c r="B1" s="21" t="s">
        <v>0</v>
      </c>
      <c r="C1" s="21" t="s">
        <v>1</v>
      </c>
      <c r="D1" s="22" t="s">
        <v>2</v>
      </c>
      <c r="E1" s="22" t="s">
        <v>3</v>
      </c>
      <c r="F1" s="165" t="s">
        <v>4</v>
      </c>
      <c r="G1" s="21" t="s">
        <v>5</v>
      </c>
      <c r="H1" s="21" t="s">
        <v>6</v>
      </c>
      <c r="I1" s="21" t="s">
        <v>7</v>
      </c>
      <c r="K1" s="579" t="s">
        <v>42</v>
      </c>
      <c r="L1" s="579"/>
      <c r="M1" s="579"/>
      <c r="N1" s="579"/>
      <c r="O1" s="579"/>
      <c r="P1" s="579"/>
      <c r="Q1" s="579"/>
      <c r="R1" s="578">
        <v>45850</v>
      </c>
      <c r="S1" s="578"/>
    </row>
    <row r="2" spans="1:19" ht="21.6" thickBot="1" x14ac:dyDescent="0.4">
      <c r="A2" s="81">
        <v>1</v>
      </c>
      <c r="B2" s="158" t="s">
        <v>28</v>
      </c>
      <c r="C2" s="157" t="s">
        <v>16</v>
      </c>
      <c r="D2" s="319">
        <v>2</v>
      </c>
      <c r="E2" s="161">
        <v>2</v>
      </c>
      <c r="F2" s="164">
        <v>-2</v>
      </c>
      <c r="G2" s="161">
        <f>15+12</f>
        <v>27</v>
      </c>
      <c r="H2" s="161">
        <f>25+26</f>
        <v>51</v>
      </c>
      <c r="I2" s="317">
        <f t="shared" ref="I2:I19" si="0">G2/H2</f>
        <v>0.52941176470588236</v>
      </c>
      <c r="L2" s="13" t="s">
        <v>43</v>
      </c>
      <c r="M2" s="23" t="s">
        <v>44</v>
      </c>
      <c r="N2" s="23" t="s">
        <v>45</v>
      </c>
      <c r="O2"/>
      <c r="Q2" s="13" t="s">
        <v>43</v>
      </c>
      <c r="R2" s="23" t="s">
        <v>44</v>
      </c>
      <c r="S2" s="23" t="s">
        <v>45</v>
      </c>
    </row>
    <row r="3" spans="1:19" ht="21" x14ac:dyDescent="0.35">
      <c r="A3" s="81">
        <f>A2+1</f>
        <v>2</v>
      </c>
      <c r="B3" s="158" t="s">
        <v>27</v>
      </c>
      <c r="C3" s="157" t="s">
        <v>11</v>
      </c>
      <c r="D3" s="319"/>
      <c r="E3" s="161"/>
      <c r="F3" s="164"/>
      <c r="G3" s="161">
        <v>0</v>
      </c>
      <c r="H3" s="161">
        <v>0</v>
      </c>
      <c r="I3" s="317" t="e">
        <f t="shared" si="0"/>
        <v>#DIV/0!</v>
      </c>
      <c r="K3" s="580" t="s">
        <v>46</v>
      </c>
      <c r="L3" s="24">
        <v>1</v>
      </c>
      <c r="M3" s="17" t="str">
        <f>B4</f>
        <v>CRISTIAN GUANCHA</v>
      </c>
      <c r="N3" s="17" t="s">
        <v>9</v>
      </c>
      <c r="O3"/>
      <c r="P3" s="572" t="s">
        <v>46</v>
      </c>
      <c r="Q3" s="25">
        <v>1</v>
      </c>
      <c r="R3" s="26" t="str">
        <f>B6</f>
        <v>CUPO RELAMPAGO</v>
      </c>
      <c r="S3" s="26" t="s">
        <v>9</v>
      </c>
    </row>
    <row r="4" spans="1:19" ht="21" x14ac:dyDescent="0.35">
      <c r="A4" s="81">
        <f t="shared" ref="A4:A32" si="1">A3+1</f>
        <v>3</v>
      </c>
      <c r="B4" s="158" t="s">
        <v>12</v>
      </c>
      <c r="C4" s="157" t="s">
        <v>9</v>
      </c>
      <c r="D4" s="319">
        <v>4</v>
      </c>
      <c r="E4" s="161">
        <v>4</v>
      </c>
      <c r="F4" s="164">
        <v>-1</v>
      </c>
      <c r="G4" s="161">
        <f>20+18</f>
        <v>38</v>
      </c>
      <c r="H4" s="161">
        <f>39+26</f>
        <v>65</v>
      </c>
      <c r="I4" s="317">
        <f t="shared" si="0"/>
        <v>0.58461538461538465</v>
      </c>
      <c r="K4" s="581"/>
      <c r="L4" s="24">
        <v>2</v>
      </c>
      <c r="M4" s="17" t="str">
        <f>B14</f>
        <v>JHON ACOSTA</v>
      </c>
      <c r="N4" s="17" t="s">
        <v>47</v>
      </c>
      <c r="O4"/>
      <c r="P4" s="573"/>
      <c r="Q4" s="25">
        <v>2</v>
      </c>
      <c r="R4" s="26" t="str">
        <f>B15</f>
        <v>JHON QUENGUAN</v>
      </c>
      <c r="S4" s="26" t="s">
        <v>18</v>
      </c>
    </row>
    <row r="5" spans="1:19" ht="21" x14ac:dyDescent="0.35">
      <c r="A5" s="316">
        <f t="shared" si="1"/>
        <v>4</v>
      </c>
      <c r="B5" s="158" t="s">
        <v>25</v>
      </c>
      <c r="C5" s="157" t="s">
        <v>9</v>
      </c>
      <c r="D5" s="319">
        <v>4</v>
      </c>
      <c r="E5" s="161">
        <v>4</v>
      </c>
      <c r="F5" s="164">
        <v>-1</v>
      </c>
      <c r="G5" s="161">
        <f>11+25</f>
        <v>36</v>
      </c>
      <c r="H5" s="161">
        <f>28+30</f>
        <v>58</v>
      </c>
      <c r="I5" s="317">
        <f t="shared" si="0"/>
        <v>0.62068965517241381</v>
      </c>
      <c r="K5" s="582">
        <v>1</v>
      </c>
      <c r="L5" s="24">
        <v>3</v>
      </c>
      <c r="M5" s="17" t="str">
        <f>B21</f>
        <v>MAVERICK</v>
      </c>
      <c r="N5" s="17" t="s">
        <v>9</v>
      </c>
      <c r="O5"/>
      <c r="P5" s="574">
        <v>2</v>
      </c>
      <c r="Q5" s="25">
        <v>3</v>
      </c>
      <c r="R5" s="26" t="str">
        <f>B16</f>
        <v>JORGE CUMBAL</v>
      </c>
      <c r="S5" s="26" t="s">
        <v>18</v>
      </c>
    </row>
    <row r="6" spans="1:19" ht="21" x14ac:dyDescent="0.35">
      <c r="A6" s="316">
        <f t="shared" si="1"/>
        <v>5</v>
      </c>
      <c r="B6" s="158" t="s">
        <v>123</v>
      </c>
      <c r="C6" s="157" t="s">
        <v>16</v>
      </c>
      <c r="D6" s="319"/>
      <c r="E6" s="161"/>
      <c r="F6" s="164"/>
      <c r="G6" s="161">
        <v>0</v>
      </c>
      <c r="H6" s="161">
        <v>0</v>
      </c>
      <c r="I6" s="317" t="e">
        <f t="shared" si="0"/>
        <v>#DIV/0!</v>
      </c>
      <c r="K6" s="583"/>
      <c r="L6" s="24">
        <v>4</v>
      </c>
      <c r="M6" s="17" t="s">
        <v>48</v>
      </c>
      <c r="N6" s="79" t="s">
        <v>49</v>
      </c>
      <c r="O6"/>
      <c r="P6" s="575"/>
      <c r="Q6" s="27">
        <v>4</v>
      </c>
      <c r="R6" s="14" t="s">
        <v>48</v>
      </c>
      <c r="S6" s="14" t="s">
        <v>50</v>
      </c>
    </row>
    <row r="7" spans="1:19" ht="21" x14ac:dyDescent="0.35">
      <c r="A7" s="316">
        <f t="shared" si="1"/>
        <v>6</v>
      </c>
      <c r="B7" s="158" t="s">
        <v>34</v>
      </c>
      <c r="C7" s="157" t="s">
        <v>16</v>
      </c>
      <c r="D7" s="319">
        <v>0</v>
      </c>
      <c r="E7" s="161">
        <v>0</v>
      </c>
      <c r="F7" s="164">
        <v>-4</v>
      </c>
      <c r="G7" s="161">
        <f>6+8</f>
        <v>14</v>
      </c>
      <c r="H7" s="161">
        <f>25+26</f>
        <v>51</v>
      </c>
      <c r="I7" s="317">
        <f t="shared" si="0"/>
        <v>0.27450980392156865</v>
      </c>
      <c r="K7" s="584" t="s">
        <v>46</v>
      </c>
      <c r="L7" s="28">
        <v>1</v>
      </c>
      <c r="M7" s="29" t="str">
        <f>B23</f>
        <v>PABLO GETIAL</v>
      </c>
      <c r="N7" s="29" t="s">
        <v>16</v>
      </c>
      <c r="O7"/>
      <c r="P7" s="576" t="s">
        <v>46</v>
      </c>
      <c r="Q7" s="30">
        <v>1</v>
      </c>
      <c r="R7" s="31" t="str">
        <f>B8</f>
        <v>EDGAR PAZMIÑO</v>
      </c>
      <c r="S7" s="31" t="s">
        <v>18</v>
      </c>
    </row>
    <row r="8" spans="1:19" ht="21" x14ac:dyDescent="0.35">
      <c r="A8" s="316">
        <f t="shared" si="1"/>
        <v>7</v>
      </c>
      <c r="B8" s="158" t="s">
        <v>10</v>
      </c>
      <c r="C8" s="157" t="s">
        <v>11</v>
      </c>
      <c r="D8" s="319">
        <v>4</v>
      </c>
      <c r="E8" s="161">
        <v>4</v>
      </c>
      <c r="F8" s="164">
        <v>1</v>
      </c>
      <c r="G8" s="161">
        <f>12+19</f>
        <v>31</v>
      </c>
      <c r="H8" s="161">
        <f>36+26</f>
        <v>62</v>
      </c>
      <c r="I8" s="317">
        <f t="shared" si="0"/>
        <v>0.5</v>
      </c>
      <c r="K8" s="585"/>
      <c r="L8" s="28">
        <v>2</v>
      </c>
      <c r="M8" s="29" t="str">
        <f>B7</f>
        <v>DARIO MANTILLA</v>
      </c>
      <c r="N8" s="29" t="s">
        <v>51</v>
      </c>
      <c r="O8"/>
      <c r="P8" s="577"/>
      <c r="Q8" s="30">
        <v>2</v>
      </c>
      <c r="R8" s="31" t="str">
        <f>B22</f>
        <v>MILSON REALPE</v>
      </c>
      <c r="S8" s="31" t="s">
        <v>47</v>
      </c>
    </row>
    <row r="9" spans="1:19" ht="21" x14ac:dyDescent="0.35">
      <c r="A9" s="316">
        <f t="shared" si="1"/>
        <v>8</v>
      </c>
      <c r="B9" s="158" t="s">
        <v>13</v>
      </c>
      <c r="C9" s="157" t="s">
        <v>9</v>
      </c>
      <c r="D9" s="319">
        <v>4</v>
      </c>
      <c r="E9" s="161">
        <v>4</v>
      </c>
      <c r="F9" s="164">
        <v>-1</v>
      </c>
      <c r="G9" s="161">
        <f>7+18</f>
        <v>25</v>
      </c>
      <c r="H9" s="161">
        <f>39+25</f>
        <v>64</v>
      </c>
      <c r="I9" s="317">
        <f t="shared" si="0"/>
        <v>0.390625</v>
      </c>
      <c r="K9" s="546">
        <v>3</v>
      </c>
      <c r="L9" s="28">
        <v>3</v>
      </c>
      <c r="M9" s="29" t="str">
        <f>B9</f>
        <v>EDWIN LOPEZ</v>
      </c>
      <c r="N9" s="29" t="s">
        <v>9</v>
      </c>
      <c r="O9"/>
      <c r="P9" s="562">
        <v>4</v>
      </c>
      <c r="Q9" s="30">
        <v>3</v>
      </c>
      <c r="R9" s="31" t="str">
        <f>B11</f>
        <v xml:space="preserve">ESTEBAN AYALA </v>
      </c>
      <c r="S9" s="31" t="s">
        <v>47</v>
      </c>
    </row>
    <row r="10" spans="1:19" ht="21" x14ac:dyDescent="0.35">
      <c r="A10" s="316">
        <f t="shared" si="1"/>
        <v>9</v>
      </c>
      <c r="B10" s="158" t="s">
        <v>35</v>
      </c>
      <c r="C10" s="157" t="s">
        <v>9</v>
      </c>
      <c r="D10" s="319">
        <v>2</v>
      </c>
      <c r="E10" s="161">
        <v>2</v>
      </c>
      <c r="F10" s="164">
        <v>-2</v>
      </c>
      <c r="G10" s="161">
        <f>23+12</f>
        <v>35</v>
      </c>
      <c r="H10" s="161">
        <f>34+26</f>
        <v>60</v>
      </c>
      <c r="I10" s="317">
        <f t="shared" si="0"/>
        <v>0.58333333333333337</v>
      </c>
      <c r="K10" s="547"/>
      <c r="L10" s="28">
        <v>4</v>
      </c>
      <c r="M10" s="29" t="s">
        <v>48</v>
      </c>
      <c r="N10" s="29" t="s">
        <v>52</v>
      </c>
      <c r="O10"/>
      <c r="P10" s="563"/>
      <c r="Q10" s="30">
        <v>4</v>
      </c>
      <c r="R10" s="32" t="s">
        <v>48</v>
      </c>
      <c r="S10" s="32" t="s">
        <v>53</v>
      </c>
    </row>
    <row r="11" spans="1:19" ht="21" x14ac:dyDescent="0.35">
      <c r="A11" s="316">
        <f t="shared" si="1"/>
        <v>10</v>
      </c>
      <c r="B11" s="168" t="s">
        <v>20</v>
      </c>
      <c r="C11" s="157" t="s">
        <v>9</v>
      </c>
      <c r="D11" s="319"/>
      <c r="E11" s="318">
        <v>1</v>
      </c>
      <c r="F11" s="164">
        <v>-4</v>
      </c>
      <c r="G11" s="161">
        <f>10+14</f>
        <v>24</v>
      </c>
      <c r="H11" s="161">
        <f>42+26</f>
        <v>68</v>
      </c>
      <c r="I11" s="317">
        <f t="shared" si="0"/>
        <v>0.35294117647058826</v>
      </c>
      <c r="K11" s="550" t="s">
        <v>46</v>
      </c>
      <c r="L11" s="33">
        <v>1</v>
      </c>
      <c r="M11" s="34" t="str">
        <f>B24</f>
        <v>RAMIRO MAFLA</v>
      </c>
      <c r="N11" s="34" t="s">
        <v>47</v>
      </c>
      <c r="O11"/>
      <c r="P11" s="564" t="s">
        <v>46</v>
      </c>
      <c r="Q11" s="39">
        <v>1</v>
      </c>
      <c r="R11" s="40" t="str">
        <f>B13</f>
        <v>JHON A. BETHANCOUR</v>
      </c>
      <c r="S11" s="40" t="s">
        <v>47</v>
      </c>
    </row>
    <row r="12" spans="1:19" ht="21" x14ac:dyDescent="0.35">
      <c r="A12" s="316">
        <f t="shared" si="1"/>
        <v>11</v>
      </c>
      <c r="B12" s="158" t="s">
        <v>15</v>
      </c>
      <c r="C12" s="157" t="s">
        <v>16</v>
      </c>
      <c r="D12" s="319">
        <v>4</v>
      </c>
      <c r="E12" s="161">
        <v>4</v>
      </c>
      <c r="F12" s="164"/>
      <c r="G12" s="161">
        <f>19+15</f>
        <v>34</v>
      </c>
      <c r="H12" s="161">
        <f>20+26</f>
        <v>46</v>
      </c>
      <c r="I12" s="317">
        <f t="shared" si="0"/>
        <v>0.73913043478260865</v>
      </c>
      <c r="K12" s="551"/>
      <c r="L12" s="33">
        <v>2</v>
      </c>
      <c r="M12" s="34" t="str">
        <f>B17</f>
        <v>JORGE HERNANDEZ</v>
      </c>
      <c r="N12" s="34" t="s">
        <v>9</v>
      </c>
      <c r="O12"/>
      <c r="P12" s="565"/>
      <c r="Q12" s="39">
        <v>2</v>
      </c>
      <c r="R12" s="40" t="str">
        <f>B5</f>
        <v>CRISTIAN SALAZAR</v>
      </c>
      <c r="S12" s="40" t="s">
        <v>9</v>
      </c>
    </row>
    <row r="13" spans="1:19" ht="21" x14ac:dyDescent="0.35">
      <c r="A13" s="316">
        <f t="shared" si="1"/>
        <v>12</v>
      </c>
      <c r="B13" s="158" t="s">
        <v>37</v>
      </c>
      <c r="C13" s="157" t="s">
        <v>9</v>
      </c>
      <c r="D13" s="319">
        <v>0</v>
      </c>
      <c r="E13" s="318">
        <v>0</v>
      </c>
      <c r="F13" s="164">
        <v>-4</v>
      </c>
      <c r="G13" s="161">
        <f>8+14</f>
        <v>22</v>
      </c>
      <c r="H13" s="161">
        <f>25+28</f>
        <v>53</v>
      </c>
      <c r="I13" s="317">
        <f t="shared" si="0"/>
        <v>0.41509433962264153</v>
      </c>
      <c r="K13" s="552">
        <v>5</v>
      </c>
      <c r="L13" s="33">
        <v>3</v>
      </c>
      <c r="M13" s="34" t="str">
        <f>B2</f>
        <v>ALEX BURBANO</v>
      </c>
      <c r="N13" s="34" t="s">
        <v>9</v>
      </c>
      <c r="O13"/>
      <c r="P13" s="566">
        <v>6</v>
      </c>
      <c r="Q13" s="39">
        <v>3</v>
      </c>
      <c r="R13" s="40" t="str">
        <f>B20</f>
        <v>LESTER LEON</v>
      </c>
      <c r="S13" s="40" t="s">
        <v>9</v>
      </c>
    </row>
    <row r="14" spans="1:19" ht="21" x14ac:dyDescent="0.35">
      <c r="A14" s="316">
        <f t="shared" si="1"/>
        <v>13</v>
      </c>
      <c r="B14" s="158" t="s">
        <v>23</v>
      </c>
      <c r="C14" s="157" t="s">
        <v>16</v>
      </c>
      <c r="D14" s="319">
        <v>0</v>
      </c>
      <c r="E14" s="318">
        <v>0</v>
      </c>
      <c r="F14" s="164">
        <v>-4</v>
      </c>
      <c r="G14" s="161">
        <f>9+4</f>
        <v>13</v>
      </c>
      <c r="H14" s="161">
        <f>20+26</f>
        <v>46</v>
      </c>
      <c r="I14" s="317">
        <f t="shared" si="0"/>
        <v>0.28260869565217389</v>
      </c>
      <c r="K14" s="553"/>
      <c r="L14" s="33">
        <v>4</v>
      </c>
      <c r="M14" s="34" t="s">
        <v>48</v>
      </c>
      <c r="N14" s="34" t="s">
        <v>54</v>
      </c>
      <c r="O14"/>
      <c r="P14" s="567"/>
      <c r="Q14" s="41">
        <v>4</v>
      </c>
      <c r="R14" s="42" t="s">
        <v>48</v>
      </c>
      <c r="S14" s="42" t="s">
        <v>55</v>
      </c>
    </row>
    <row r="15" spans="1:19" ht="21" x14ac:dyDescent="0.35">
      <c r="A15" s="316">
        <f t="shared" si="1"/>
        <v>14</v>
      </c>
      <c r="B15" s="168" t="s">
        <v>19</v>
      </c>
      <c r="C15" s="157" t="s">
        <v>16</v>
      </c>
      <c r="D15" s="319"/>
      <c r="E15" s="318"/>
      <c r="F15" s="164"/>
      <c r="G15" s="161">
        <v>0</v>
      </c>
      <c r="H15" s="161">
        <v>0</v>
      </c>
      <c r="I15" s="317" t="e">
        <f t="shared" si="0"/>
        <v>#DIV/0!</v>
      </c>
      <c r="K15" s="554" t="s">
        <v>46</v>
      </c>
      <c r="L15" s="35">
        <v>1</v>
      </c>
      <c r="M15" s="18" t="str">
        <f>B10</f>
        <v>EIVER GRIJALVA</v>
      </c>
      <c r="N15" s="18" t="s">
        <v>47</v>
      </c>
      <c r="O15"/>
      <c r="P15" s="568" t="s">
        <v>46</v>
      </c>
      <c r="Q15" s="36">
        <v>1</v>
      </c>
      <c r="R15" s="37" t="str">
        <f>B3</f>
        <v>ANDRES BEDOYA</v>
      </c>
      <c r="S15" s="37" t="s">
        <v>47</v>
      </c>
    </row>
    <row r="16" spans="1:19" ht="21" x14ac:dyDescent="0.35">
      <c r="A16" s="316">
        <f t="shared" si="1"/>
        <v>15</v>
      </c>
      <c r="B16" s="158" t="s">
        <v>8</v>
      </c>
      <c r="C16" s="157" t="s">
        <v>9</v>
      </c>
      <c r="D16" s="319">
        <v>4</v>
      </c>
      <c r="E16" s="318">
        <v>4</v>
      </c>
      <c r="F16" s="164">
        <v>-1</v>
      </c>
      <c r="G16" s="161">
        <f>15+22</f>
        <v>37</v>
      </c>
      <c r="H16" s="161">
        <f>21+22</f>
        <v>43</v>
      </c>
      <c r="I16" s="317">
        <f t="shared" si="0"/>
        <v>0.86046511627906974</v>
      </c>
      <c r="K16" s="555"/>
      <c r="L16" s="35">
        <v>2</v>
      </c>
      <c r="M16" s="18" t="str">
        <f>B18</f>
        <v>JUANCHO PAZMIÑO</v>
      </c>
      <c r="N16" s="18" t="s">
        <v>51</v>
      </c>
      <c r="O16"/>
      <c r="P16" s="569"/>
      <c r="Q16" s="36">
        <v>2</v>
      </c>
      <c r="R16" s="37" t="str">
        <f>B19</f>
        <v>JULIO REINA</v>
      </c>
      <c r="S16" s="37" t="s">
        <v>51</v>
      </c>
    </row>
    <row r="17" spans="1:19" ht="21" x14ac:dyDescent="0.35">
      <c r="A17" s="316">
        <f t="shared" si="1"/>
        <v>16</v>
      </c>
      <c r="B17" s="158" t="s">
        <v>21</v>
      </c>
      <c r="C17" s="157" t="s">
        <v>11</v>
      </c>
      <c r="D17" s="319">
        <v>4</v>
      </c>
      <c r="E17" s="161">
        <v>2</v>
      </c>
      <c r="F17" s="164"/>
      <c r="G17" s="161">
        <v>16</v>
      </c>
      <c r="H17" s="161">
        <v>25</v>
      </c>
      <c r="I17" s="317">
        <f t="shared" si="0"/>
        <v>0.64</v>
      </c>
      <c r="K17" s="556">
        <v>7</v>
      </c>
      <c r="L17" s="35">
        <v>3</v>
      </c>
      <c r="M17" s="18" t="str">
        <f>B25</f>
        <v>RICARDO VELA</v>
      </c>
      <c r="N17" s="18" t="s">
        <v>47</v>
      </c>
      <c r="O17"/>
      <c r="P17" s="570">
        <v>8</v>
      </c>
      <c r="Q17" s="36">
        <v>3</v>
      </c>
      <c r="R17" s="37" t="str">
        <f>B12</f>
        <v>GABRIEL ORTIZ</v>
      </c>
      <c r="S17" s="37" t="s">
        <v>47</v>
      </c>
    </row>
    <row r="18" spans="1:19" ht="21" x14ac:dyDescent="0.35">
      <c r="A18" s="316">
        <f t="shared" si="1"/>
        <v>17</v>
      </c>
      <c r="B18" s="158" t="s">
        <v>14</v>
      </c>
      <c r="C18" s="157" t="s">
        <v>11</v>
      </c>
      <c r="D18" s="319">
        <v>4</v>
      </c>
      <c r="E18" s="318">
        <v>4</v>
      </c>
      <c r="F18" s="164"/>
      <c r="G18" s="161">
        <f>13+19</f>
        <v>32</v>
      </c>
      <c r="H18" s="161">
        <f>26+18</f>
        <v>44</v>
      </c>
      <c r="I18" s="317">
        <f t="shared" si="0"/>
        <v>0.72727272727272729</v>
      </c>
      <c r="K18" s="557"/>
      <c r="L18" s="35">
        <v>4</v>
      </c>
      <c r="M18" s="18" t="s">
        <v>48</v>
      </c>
      <c r="N18" s="18" t="s">
        <v>56</v>
      </c>
      <c r="O18"/>
      <c r="P18" s="571"/>
      <c r="Q18" s="36">
        <v>4</v>
      </c>
      <c r="R18" s="38" t="s">
        <v>48</v>
      </c>
      <c r="S18" s="38" t="s">
        <v>57</v>
      </c>
    </row>
    <row r="19" spans="1:19" ht="21" x14ac:dyDescent="0.35">
      <c r="A19" s="316">
        <f t="shared" si="1"/>
        <v>18</v>
      </c>
      <c r="B19" s="158" t="s">
        <v>29</v>
      </c>
      <c r="C19" s="157" t="s">
        <v>18</v>
      </c>
      <c r="D19" s="319">
        <v>0</v>
      </c>
      <c r="E19" s="318">
        <v>1</v>
      </c>
      <c r="F19" s="164">
        <v>-4</v>
      </c>
      <c r="G19" s="161">
        <f>4+7</f>
        <v>11</v>
      </c>
      <c r="H19" s="161">
        <f>19+39</f>
        <v>58</v>
      </c>
      <c r="I19" s="317">
        <f t="shared" si="0"/>
        <v>0.18965517241379309</v>
      </c>
      <c r="K19" s="558" t="s">
        <v>46</v>
      </c>
      <c r="L19" s="43">
        <v>1</v>
      </c>
      <c r="M19" s="44" t="s">
        <v>124</v>
      </c>
      <c r="N19" s="44" t="s">
        <v>124</v>
      </c>
      <c r="O19"/>
      <c r="P19" s="560" t="s">
        <v>46</v>
      </c>
      <c r="Q19" s="47">
        <v>1</v>
      </c>
      <c r="R19" s="48">
        <v>28</v>
      </c>
      <c r="S19" s="48" t="s">
        <v>58</v>
      </c>
    </row>
    <row r="20" spans="1:19" ht="21" x14ac:dyDescent="0.35">
      <c r="A20" s="316">
        <f t="shared" si="1"/>
        <v>19</v>
      </c>
      <c r="B20" s="158" t="s">
        <v>26</v>
      </c>
      <c r="C20" s="157" t="s">
        <v>9</v>
      </c>
      <c r="D20" s="320">
        <v>2</v>
      </c>
      <c r="E20" s="157">
        <v>3</v>
      </c>
      <c r="F20" s="157">
        <v>-2</v>
      </c>
      <c r="G20" s="161">
        <v>29</v>
      </c>
      <c r="H20" s="161">
        <f>29+26</f>
        <v>55</v>
      </c>
      <c r="I20" s="317">
        <f t="shared" ref="I20:I32" si="2">G20/H20</f>
        <v>0.52727272727272723</v>
      </c>
      <c r="K20" s="559"/>
      <c r="L20" s="43">
        <v>2</v>
      </c>
      <c r="M20" s="45" t="s">
        <v>124</v>
      </c>
      <c r="N20" s="45" t="s">
        <v>124</v>
      </c>
      <c r="O20"/>
      <c r="P20" s="561"/>
      <c r="Q20" s="47">
        <v>2</v>
      </c>
      <c r="R20" s="48">
        <v>29</v>
      </c>
      <c r="S20" s="48" t="s">
        <v>59</v>
      </c>
    </row>
    <row r="21" spans="1:19" ht="21" x14ac:dyDescent="0.35">
      <c r="A21" s="316">
        <f t="shared" si="1"/>
        <v>20</v>
      </c>
      <c r="B21" s="158" t="s">
        <v>39</v>
      </c>
      <c r="C21" s="157" t="s">
        <v>11</v>
      </c>
      <c r="D21" s="320">
        <v>2</v>
      </c>
      <c r="E21" s="157">
        <v>3</v>
      </c>
      <c r="F21" s="157">
        <v>-2</v>
      </c>
      <c r="G21" s="161">
        <f>9+25</f>
        <v>34</v>
      </c>
      <c r="H21" s="161">
        <f>20+39</f>
        <v>59</v>
      </c>
      <c r="I21" s="317">
        <f t="shared" si="2"/>
        <v>0.57627118644067798</v>
      </c>
      <c r="K21" s="536">
        <v>9</v>
      </c>
      <c r="L21" s="46">
        <v>3</v>
      </c>
      <c r="M21" s="44" t="s">
        <v>124</v>
      </c>
      <c r="N21" s="44" t="s">
        <v>124</v>
      </c>
      <c r="O21"/>
      <c r="P21" s="534">
        <v>10</v>
      </c>
      <c r="Q21" s="47">
        <v>3</v>
      </c>
      <c r="R21" s="48">
        <v>30</v>
      </c>
      <c r="S21" s="48" t="s">
        <v>60</v>
      </c>
    </row>
    <row r="22" spans="1:19" ht="21" x14ac:dyDescent="0.35">
      <c r="A22" s="316">
        <f t="shared" si="1"/>
        <v>21</v>
      </c>
      <c r="B22" s="158" t="s">
        <v>122</v>
      </c>
      <c r="C22" s="157" t="s">
        <v>16</v>
      </c>
      <c r="D22" s="320">
        <v>2</v>
      </c>
      <c r="E22" s="157">
        <v>3</v>
      </c>
      <c r="F22" s="157">
        <v>-3</v>
      </c>
      <c r="G22" s="161">
        <f>16+19</f>
        <v>35</v>
      </c>
      <c r="H22" s="161">
        <f>42+36</f>
        <v>78</v>
      </c>
      <c r="I22" s="317">
        <f t="shared" si="2"/>
        <v>0.44871794871794873</v>
      </c>
      <c r="K22" s="537"/>
      <c r="L22" s="46">
        <v>4</v>
      </c>
      <c r="M22" s="44" t="s">
        <v>61</v>
      </c>
      <c r="N22" s="44" t="s">
        <v>62</v>
      </c>
      <c r="O22"/>
      <c r="P22" s="535"/>
      <c r="Q22" s="47">
        <v>4</v>
      </c>
      <c r="R22" s="49" t="s">
        <v>48</v>
      </c>
      <c r="S22" s="49" t="s">
        <v>63</v>
      </c>
    </row>
    <row r="23" spans="1:19" ht="21" x14ac:dyDescent="0.35">
      <c r="A23" s="316">
        <f t="shared" si="1"/>
        <v>22</v>
      </c>
      <c r="B23" s="158" t="s">
        <v>24</v>
      </c>
      <c r="C23" s="157" t="s">
        <v>16</v>
      </c>
      <c r="D23" s="320">
        <v>2</v>
      </c>
      <c r="E23" s="157">
        <v>3</v>
      </c>
      <c r="F23" s="157">
        <v>-2</v>
      </c>
      <c r="G23" s="161">
        <f>14+15</f>
        <v>29</v>
      </c>
      <c r="H23" s="161">
        <f>39+26</f>
        <v>65</v>
      </c>
      <c r="I23" s="317">
        <f t="shared" si="2"/>
        <v>0.44615384615384618</v>
      </c>
      <c r="K23" s="548" t="s">
        <v>46</v>
      </c>
      <c r="L23" s="51">
        <v>1</v>
      </c>
      <c r="M23" s="52">
        <v>31</v>
      </c>
      <c r="N23" s="52" t="s">
        <v>58</v>
      </c>
      <c r="O23"/>
      <c r="P23" s="538" t="s">
        <v>46</v>
      </c>
      <c r="Q23" s="53">
        <v>1</v>
      </c>
      <c r="R23" s="54">
        <v>34</v>
      </c>
      <c r="S23" s="54" t="s">
        <v>58</v>
      </c>
    </row>
    <row r="24" spans="1:19" ht="21" x14ac:dyDescent="0.35">
      <c r="A24" s="316">
        <f t="shared" si="1"/>
        <v>23</v>
      </c>
      <c r="B24" s="158" t="s">
        <v>22</v>
      </c>
      <c r="C24" s="157" t="s">
        <v>11</v>
      </c>
      <c r="D24" s="320">
        <v>0</v>
      </c>
      <c r="E24" s="157">
        <v>0</v>
      </c>
      <c r="F24" s="157">
        <v>-2</v>
      </c>
      <c r="G24" s="161">
        <v>8</v>
      </c>
      <c r="H24" s="161">
        <v>26</v>
      </c>
      <c r="I24" s="317">
        <f t="shared" si="2"/>
        <v>0.30769230769230771</v>
      </c>
      <c r="K24" s="549"/>
      <c r="L24" s="51">
        <v>2</v>
      </c>
      <c r="M24" s="52">
        <v>32</v>
      </c>
      <c r="N24" s="52" t="s">
        <v>59</v>
      </c>
      <c r="O24"/>
      <c r="P24" s="539"/>
      <c r="Q24" s="53">
        <v>2</v>
      </c>
      <c r="R24" s="54">
        <v>35</v>
      </c>
      <c r="S24" s="54" t="s">
        <v>59</v>
      </c>
    </row>
    <row r="25" spans="1:19" ht="21" x14ac:dyDescent="0.35">
      <c r="A25" s="316">
        <f t="shared" si="1"/>
        <v>24</v>
      </c>
      <c r="B25" s="158" t="s">
        <v>40</v>
      </c>
      <c r="C25" s="157" t="s">
        <v>16</v>
      </c>
      <c r="D25" s="320">
        <v>0</v>
      </c>
      <c r="E25" s="157">
        <v>1</v>
      </c>
      <c r="F25" s="157">
        <v>-4</v>
      </c>
      <c r="G25" s="161">
        <f>17+10</f>
        <v>27</v>
      </c>
      <c r="H25" s="161">
        <f>18+34</f>
        <v>52</v>
      </c>
      <c r="I25" s="317">
        <f t="shared" si="2"/>
        <v>0.51923076923076927</v>
      </c>
      <c r="K25" s="528">
        <v>11</v>
      </c>
      <c r="L25" s="51">
        <v>3</v>
      </c>
      <c r="M25" s="52">
        <v>33</v>
      </c>
      <c r="N25" s="52" t="s">
        <v>60</v>
      </c>
      <c r="O25"/>
      <c r="P25" s="540">
        <v>12</v>
      </c>
      <c r="Q25" s="53">
        <v>3</v>
      </c>
      <c r="R25" s="54">
        <v>36</v>
      </c>
      <c r="S25" s="54" t="s">
        <v>60</v>
      </c>
    </row>
    <row r="26" spans="1:19" ht="17.399999999999999" customHeight="1" x14ac:dyDescent="0.35">
      <c r="A26" s="316">
        <f t="shared" si="1"/>
        <v>25</v>
      </c>
      <c r="B26" s="20" t="s">
        <v>125</v>
      </c>
      <c r="C26" s="157" t="s">
        <v>16</v>
      </c>
      <c r="D26" s="320">
        <v>2</v>
      </c>
      <c r="E26" s="157">
        <v>2</v>
      </c>
      <c r="F26" s="157">
        <v>-3</v>
      </c>
      <c r="G26" s="161">
        <f>15+7</f>
        <v>22</v>
      </c>
      <c r="H26" s="161">
        <f>39+26</f>
        <v>65</v>
      </c>
      <c r="I26" s="317">
        <f t="shared" si="2"/>
        <v>0.33846153846153848</v>
      </c>
      <c r="K26" s="529"/>
      <c r="L26" s="51">
        <v>4</v>
      </c>
      <c r="M26" s="52" t="s">
        <v>48</v>
      </c>
      <c r="N26" s="52" t="s">
        <v>64</v>
      </c>
      <c r="O26"/>
      <c r="P26" s="541"/>
      <c r="Q26" s="55">
        <v>4</v>
      </c>
      <c r="R26" s="56" t="s">
        <v>48</v>
      </c>
      <c r="S26" s="56" t="s">
        <v>65</v>
      </c>
    </row>
    <row r="27" spans="1:19" ht="17.399999999999999" customHeight="1" x14ac:dyDescent="0.35">
      <c r="A27" s="316">
        <f t="shared" si="1"/>
        <v>26</v>
      </c>
      <c r="B27" s="20"/>
      <c r="C27" s="157"/>
      <c r="D27" s="320"/>
      <c r="E27" s="157"/>
      <c r="F27" s="157"/>
      <c r="G27" s="161">
        <v>0</v>
      </c>
      <c r="H27" s="161">
        <v>0</v>
      </c>
      <c r="I27" s="317" t="e">
        <f t="shared" si="2"/>
        <v>#DIV/0!</v>
      </c>
      <c r="K27" s="530" t="s">
        <v>46</v>
      </c>
      <c r="L27" s="57">
        <v>1</v>
      </c>
      <c r="M27" s="58">
        <v>37</v>
      </c>
      <c r="N27" s="58" t="s">
        <v>58</v>
      </c>
      <c r="O27"/>
      <c r="P27" s="542" t="s">
        <v>46</v>
      </c>
      <c r="Q27" s="59">
        <v>1</v>
      </c>
      <c r="R27" s="60">
        <v>40</v>
      </c>
      <c r="S27" s="60" t="s">
        <v>58</v>
      </c>
    </row>
    <row r="28" spans="1:19" ht="21" x14ac:dyDescent="0.35">
      <c r="A28" s="316">
        <f t="shared" si="1"/>
        <v>27</v>
      </c>
      <c r="B28" s="20"/>
      <c r="C28" s="157"/>
      <c r="D28" s="320"/>
      <c r="E28" s="157"/>
      <c r="F28" s="157"/>
      <c r="G28" s="161">
        <v>0</v>
      </c>
      <c r="H28" s="161">
        <v>0</v>
      </c>
      <c r="I28" s="317" t="e">
        <f t="shared" si="2"/>
        <v>#DIV/0!</v>
      </c>
      <c r="K28" s="531"/>
      <c r="L28" s="57">
        <v>2</v>
      </c>
      <c r="M28" s="58">
        <v>38</v>
      </c>
      <c r="N28" s="58" t="s">
        <v>59</v>
      </c>
      <c r="O28"/>
      <c r="P28" s="543"/>
      <c r="Q28" s="59">
        <v>2</v>
      </c>
      <c r="R28" s="60">
        <v>41</v>
      </c>
      <c r="S28" s="60" t="s">
        <v>59</v>
      </c>
    </row>
    <row r="29" spans="1:19" ht="21" x14ac:dyDescent="0.35">
      <c r="A29" s="316">
        <f t="shared" si="1"/>
        <v>28</v>
      </c>
      <c r="B29" s="20"/>
      <c r="C29" s="157"/>
      <c r="D29" s="320"/>
      <c r="E29" s="157"/>
      <c r="F29" s="157"/>
      <c r="G29" s="161">
        <v>0</v>
      </c>
      <c r="H29" s="161">
        <v>0</v>
      </c>
      <c r="I29" s="317" t="e">
        <f t="shared" si="2"/>
        <v>#DIV/0!</v>
      </c>
      <c r="K29" s="532">
        <v>13</v>
      </c>
      <c r="L29" s="57">
        <v>3</v>
      </c>
      <c r="M29" s="58">
        <v>39</v>
      </c>
      <c r="N29" s="58" t="s">
        <v>60</v>
      </c>
      <c r="O29"/>
      <c r="P29" s="544">
        <v>14</v>
      </c>
      <c r="Q29" s="59">
        <v>3</v>
      </c>
      <c r="R29" s="60">
        <v>42</v>
      </c>
      <c r="S29" s="60" t="s">
        <v>60</v>
      </c>
    </row>
    <row r="30" spans="1:19" ht="17.399999999999999" customHeight="1" x14ac:dyDescent="0.35">
      <c r="A30" s="316">
        <f t="shared" si="1"/>
        <v>29</v>
      </c>
      <c r="B30" s="20"/>
      <c r="C30" s="157"/>
      <c r="D30" s="320"/>
      <c r="E30" s="157"/>
      <c r="F30" s="157"/>
      <c r="G30" s="161">
        <v>0</v>
      </c>
      <c r="H30" s="161">
        <v>0</v>
      </c>
      <c r="I30" s="317" t="e">
        <f t="shared" si="2"/>
        <v>#DIV/0!</v>
      </c>
      <c r="K30" s="533"/>
      <c r="L30" s="57">
        <v>4</v>
      </c>
      <c r="M30" s="58" t="s">
        <v>48</v>
      </c>
      <c r="N30" s="58" t="s">
        <v>66</v>
      </c>
      <c r="O30"/>
      <c r="P30" s="545"/>
      <c r="Q30" s="59">
        <v>4</v>
      </c>
      <c r="R30" s="61" t="s">
        <v>48</v>
      </c>
      <c r="S30" s="61" t="s">
        <v>67</v>
      </c>
    </row>
    <row r="31" spans="1:19" ht="17.399999999999999" customHeight="1" x14ac:dyDescent="0.35">
      <c r="A31" s="81">
        <f t="shared" si="1"/>
        <v>30</v>
      </c>
      <c r="B31" s="20"/>
      <c r="C31" s="157"/>
      <c r="D31" s="320"/>
      <c r="E31" s="157"/>
      <c r="F31" s="157"/>
      <c r="G31" s="161">
        <v>0</v>
      </c>
      <c r="H31" s="161">
        <v>0</v>
      </c>
      <c r="I31" s="317" t="e">
        <f t="shared" si="2"/>
        <v>#DIV/0!</v>
      </c>
      <c r="L31"/>
    </row>
    <row r="32" spans="1:19" ht="21" x14ac:dyDescent="0.35">
      <c r="A32" s="81">
        <f t="shared" si="1"/>
        <v>31</v>
      </c>
      <c r="B32" s="20"/>
      <c r="C32" s="157"/>
      <c r="D32" s="320"/>
      <c r="E32" s="157"/>
      <c r="F32" s="157"/>
      <c r="G32" s="161">
        <v>0</v>
      </c>
      <c r="H32" s="161">
        <v>0</v>
      </c>
      <c r="I32" s="317" t="e">
        <f t="shared" si="2"/>
        <v>#DIV/0!</v>
      </c>
      <c r="L32"/>
    </row>
  </sheetData>
  <mergeCells count="30">
    <mergeCell ref="P3:P4"/>
    <mergeCell ref="P5:P6"/>
    <mergeCell ref="P7:P8"/>
    <mergeCell ref="R1:S1"/>
    <mergeCell ref="K1:Q1"/>
    <mergeCell ref="K3:K4"/>
    <mergeCell ref="K5:K6"/>
    <mergeCell ref="K7:K8"/>
    <mergeCell ref="P19:P20"/>
    <mergeCell ref="P9:P10"/>
    <mergeCell ref="P11:P12"/>
    <mergeCell ref="P13:P14"/>
    <mergeCell ref="P15:P16"/>
    <mergeCell ref="P17:P18"/>
    <mergeCell ref="K9:K10"/>
    <mergeCell ref="K23:K24"/>
    <mergeCell ref="K11:K12"/>
    <mergeCell ref="K13:K14"/>
    <mergeCell ref="K15:K16"/>
    <mergeCell ref="K17:K18"/>
    <mergeCell ref="K19:K20"/>
    <mergeCell ref="K25:K26"/>
    <mergeCell ref="K27:K28"/>
    <mergeCell ref="K29:K30"/>
    <mergeCell ref="P21:P22"/>
    <mergeCell ref="K21:K22"/>
    <mergeCell ref="P23:P24"/>
    <mergeCell ref="P25:P26"/>
    <mergeCell ref="P27:P28"/>
    <mergeCell ref="P29:P30"/>
  </mergeCells>
  <pageMargins left="0" right="0" top="0.78740157480314965" bottom="0" header="0.31496062992125984" footer="0.31496062992125984"/>
  <pageSetup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5245-53FB-42D8-8CC3-A763FEDD57F5}">
  <dimension ref="A2:C37"/>
  <sheetViews>
    <sheetView topLeftCell="A6" zoomScale="85" zoomScaleNormal="85" workbookViewId="0">
      <selection activeCell="B3" sqref="B3:C26"/>
    </sheetView>
  </sheetViews>
  <sheetFormatPr baseColWidth="10" defaultColWidth="10.6640625" defaultRowHeight="14.4" x14ac:dyDescent="0.3"/>
  <cols>
    <col min="2" max="2" width="30" bestFit="1" customWidth="1"/>
    <col min="3" max="3" width="18.33203125" bestFit="1" customWidth="1"/>
  </cols>
  <sheetData>
    <row r="2" spans="1:3" ht="20.399999999999999" x14ac:dyDescent="0.3">
      <c r="B2" s="21" t="s">
        <v>0</v>
      </c>
      <c r="C2" s="21" t="s">
        <v>1</v>
      </c>
    </row>
    <row r="3" spans="1:3" ht="17.399999999999999" x14ac:dyDescent="0.35">
      <c r="A3">
        <v>1</v>
      </c>
      <c r="B3" s="158" t="s">
        <v>28</v>
      </c>
      <c r="C3" s="157" t="s">
        <v>16</v>
      </c>
    </row>
    <row r="4" spans="1:3" ht="17.399999999999999" x14ac:dyDescent="0.35">
      <c r="A4" s="698">
        <v>2</v>
      </c>
      <c r="B4" s="158" t="s">
        <v>27</v>
      </c>
      <c r="C4" s="157" t="s">
        <v>11</v>
      </c>
    </row>
    <row r="5" spans="1:3" ht="17.399999999999999" x14ac:dyDescent="0.35">
      <c r="A5">
        <v>3</v>
      </c>
      <c r="B5" s="158" t="s">
        <v>12</v>
      </c>
      <c r="C5" s="157" t="s">
        <v>9</v>
      </c>
    </row>
    <row r="6" spans="1:3" ht="17.399999999999999" x14ac:dyDescent="0.35">
      <c r="A6">
        <v>4</v>
      </c>
      <c r="B6" s="158" t="s">
        <v>25</v>
      </c>
      <c r="C6" s="157" t="s">
        <v>9</v>
      </c>
    </row>
    <row r="7" spans="1:3" ht="17.399999999999999" x14ac:dyDescent="0.35">
      <c r="A7">
        <v>5</v>
      </c>
      <c r="B7" s="158" t="s">
        <v>123</v>
      </c>
      <c r="C7" s="157" t="s">
        <v>16</v>
      </c>
    </row>
    <row r="8" spans="1:3" ht="17.399999999999999" x14ac:dyDescent="0.35">
      <c r="A8">
        <v>6</v>
      </c>
      <c r="B8" s="158" t="s">
        <v>34</v>
      </c>
      <c r="C8" s="157" t="s">
        <v>16</v>
      </c>
    </row>
    <row r="9" spans="1:3" ht="17.399999999999999" x14ac:dyDescent="0.35">
      <c r="A9">
        <v>7</v>
      </c>
      <c r="B9" s="158" t="s">
        <v>10</v>
      </c>
      <c r="C9" s="157" t="s">
        <v>11</v>
      </c>
    </row>
    <row r="10" spans="1:3" ht="17.399999999999999" x14ac:dyDescent="0.35">
      <c r="A10">
        <v>8</v>
      </c>
      <c r="B10" s="158" t="s">
        <v>13</v>
      </c>
      <c r="C10" s="157" t="s">
        <v>9</v>
      </c>
    </row>
    <row r="11" spans="1:3" ht="17.399999999999999" x14ac:dyDescent="0.35">
      <c r="A11">
        <v>9</v>
      </c>
      <c r="B11" s="158" t="s">
        <v>35</v>
      </c>
      <c r="C11" s="157" t="s">
        <v>9</v>
      </c>
    </row>
    <row r="12" spans="1:3" ht="17.399999999999999" x14ac:dyDescent="0.35">
      <c r="A12" s="698">
        <v>10</v>
      </c>
      <c r="B12" s="168" t="s">
        <v>20</v>
      </c>
      <c r="C12" s="157" t="s">
        <v>9</v>
      </c>
    </row>
    <row r="13" spans="1:3" ht="17.399999999999999" x14ac:dyDescent="0.35">
      <c r="A13">
        <v>11</v>
      </c>
      <c r="B13" s="158" t="s">
        <v>15</v>
      </c>
      <c r="C13" s="157" t="s">
        <v>16</v>
      </c>
    </row>
    <row r="14" spans="1:3" ht="17.399999999999999" x14ac:dyDescent="0.35">
      <c r="A14">
        <v>12</v>
      </c>
      <c r="B14" s="158" t="s">
        <v>37</v>
      </c>
      <c r="C14" s="157" t="s">
        <v>9</v>
      </c>
    </row>
    <row r="15" spans="1:3" ht="17.399999999999999" x14ac:dyDescent="0.35">
      <c r="A15" s="699">
        <v>13</v>
      </c>
      <c r="B15" s="158" t="s">
        <v>23</v>
      </c>
      <c r="C15" s="157" t="s">
        <v>16</v>
      </c>
    </row>
    <row r="16" spans="1:3" ht="17.399999999999999" x14ac:dyDescent="0.35">
      <c r="A16" s="699">
        <v>14</v>
      </c>
      <c r="B16" s="168" t="s">
        <v>19</v>
      </c>
      <c r="C16" s="157" t="s">
        <v>16</v>
      </c>
    </row>
    <row r="17" spans="1:3" ht="17.399999999999999" x14ac:dyDescent="0.35">
      <c r="A17" s="699">
        <v>15</v>
      </c>
      <c r="B17" s="158" t="s">
        <v>8</v>
      </c>
      <c r="C17" s="157" t="s">
        <v>9</v>
      </c>
    </row>
    <row r="18" spans="1:3" ht="17.399999999999999" x14ac:dyDescent="0.35">
      <c r="A18" s="699">
        <v>16</v>
      </c>
      <c r="B18" s="158" t="s">
        <v>21</v>
      </c>
      <c r="C18" s="157" t="s">
        <v>11</v>
      </c>
    </row>
    <row r="19" spans="1:3" ht="17.399999999999999" x14ac:dyDescent="0.35">
      <c r="A19" s="699">
        <v>17</v>
      </c>
      <c r="B19" s="158" t="s">
        <v>14</v>
      </c>
      <c r="C19" s="157" t="s">
        <v>11</v>
      </c>
    </row>
    <row r="20" spans="1:3" ht="17.399999999999999" x14ac:dyDescent="0.35">
      <c r="A20" s="698">
        <v>18</v>
      </c>
      <c r="B20" s="158" t="s">
        <v>29</v>
      </c>
      <c r="C20" s="157" t="s">
        <v>18</v>
      </c>
    </row>
    <row r="21" spans="1:3" ht="17.399999999999999" x14ac:dyDescent="0.35">
      <c r="A21" s="699">
        <v>19</v>
      </c>
      <c r="B21" s="158" t="s">
        <v>26</v>
      </c>
      <c r="C21" s="157" t="s">
        <v>9</v>
      </c>
    </row>
    <row r="22" spans="1:3" ht="17.399999999999999" x14ac:dyDescent="0.35">
      <c r="A22" s="699">
        <v>20</v>
      </c>
      <c r="B22" s="158" t="s">
        <v>39</v>
      </c>
      <c r="C22" s="157" t="s">
        <v>11</v>
      </c>
    </row>
    <row r="23" spans="1:3" ht="17.399999999999999" x14ac:dyDescent="0.35">
      <c r="A23" s="699">
        <v>21</v>
      </c>
      <c r="B23" s="158" t="s">
        <v>122</v>
      </c>
      <c r="C23" s="157" t="s">
        <v>16</v>
      </c>
    </row>
    <row r="24" spans="1:3" ht="17.399999999999999" x14ac:dyDescent="0.35">
      <c r="A24" s="699">
        <v>22</v>
      </c>
      <c r="B24" s="158" t="s">
        <v>24</v>
      </c>
      <c r="C24" s="157" t="s">
        <v>16</v>
      </c>
    </row>
    <row r="25" spans="1:3" ht="17.399999999999999" x14ac:dyDescent="0.35">
      <c r="A25" s="699">
        <v>23</v>
      </c>
      <c r="B25" s="158" t="s">
        <v>22</v>
      </c>
      <c r="C25" s="157" t="s">
        <v>11</v>
      </c>
    </row>
    <row r="26" spans="1:3" ht="17.399999999999999" x14ac:dyDescent="0.35">
      <c r="A26" s="699">
        <v>24</v>
      </c>
      <c r="B26" s="158" t="s">
        <v>40</v>
      </c>
      <c r="C26" s="157" t="s">
        <v>16</v>
      </c>
    </row>
    <row r="27" spans="1:3" ht="17.399999999999999" x14ac:dyDescent="0.35">
      <c r="B27" s="20"/>
      <c r="C27" s="157"/>
    </row>
    <row r="28" spans="1:3" ht="17.399999999999999" x14ac:dyDescent="0.35">
      <c r="B28" s="20"/>
      <c r="C28" s="157"/>
    </row>
    <row r="29" spans="1:3" ht="17.399999999999999" x14ac:dyDescent="0.35">
      <c r="B29" s="20"/>
      <c r="C29" s="157"/>
    </row>
    <row r="30" spans="1:3" ht="17.399999999999999" x14ac:dyDescent="0.35">
      <c r="B30" s="20"/>
      <c r="C30" s="157"/>
    </row>
    <row r="31" spans="1:3" ht="17.399999999999999" x14ac:dyDescent="0.35">
      <c r="B31" s="20"/>
      <c r="C31" s="157"/>
    </row>
    <row r="32" spans="1:3" ht="17.399999999999999" x14ac:dyDescent="0.35">
      <c r="B32" s="20"/>
      <c r="C32" s="157"/>
    </row>
    <row r="33" spans="2:3" ht="17.399999999999999" x14ac:dyDescent="0.35">
      <c r="B33" s="20"/>
      <c r="C33" s="157"/>
    </row>
    <row r="34" spans="2:3" ht="17.399999999999999" x14ac:dyDescent="0.35">
      <c r="B34" s="20"/>
      <c r="C34" s="157"/>
    </row>
    <row r="35" spans="2:3" ht="17.399999999999999" x14ac:dyDescent="0.35">
      <c r="B35" s="20"/>
      <c r="C35" s="157"/>
    </row>
    <row r="36" spans="2:3" ht="17.399999999999999" x14ac:dyDescent="0.35">
      <c r="B36" s="20"/>
      <c r="C36" s="157"/>
    </row>
    <row r="37" spans="2:3" ht="17.399999999999999" x14ac:dyDescent="0.35">
      <c r="B37" s="20"/>
      <c r="C37" s="157"/>
    </row>
  </sheetData>
  <autoFilter ref="B2:C2" xr:uid="{25E45245-53FB-42D8-8CC3-A763FEDD57F5}">
    <sortState xmlns:xlrd2="http://schemas.microsoft.com/office/spreadsheetml/2017/richdata2" ref="B3:C26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E4E4-CA95-491C-A02E-F67E7EC1208B}">
  <sheetPr>
    <pageSetUpPr fitToPage="1"/>
  </sheetPr>
  <dimension ref="A1:Y71"/>
  <sheetViews>
    <sheetView zoomScale="70" zoomScaleNormal="70" workbookViewId="0">
      <selection activeCell="W57" sqref="W57"/>
    </sheetView>
  </sheetViews>
  <sheetFormatPr baseColWidth="10" defaultColWidth="10.6640625" defaultRowHeight="14.4" x14ac:dyDescent="0.3"/>
  <cols>
    <col min="1" max="1" width="2.6640625" customWidth="1"/>
    <col min="2" max="2" width="7.88671875" bestFit="1" customWidth="1"/>
    <col min="3" max="3" width="10.6640625" customWidth="1"/>
    <col min="4" max="4" width="12.6640625" customWidth="1"/>
    <col min="5" max="5" width="1.109375" customWidth="1"/>
    <col min="6" max="6" width="7.88671875" bestFit="1" customWidth="1"/>
    <col min="7" max="7" width="10.6640625" customWidth="1"/>
    <col min="8" max="8" width="12.6640625" customWidth="1"/>
    <col min="9" max="9" width="11.5546875"/>
    <col min="10" max="10" width="7.88671875" bestFit="1" customWidth="1"/>
    <col min="11" max="11" width="10.6640625" customWidth="1"/>
    <col min="12" max="12" width="12.6640625" customWidth="1"/>
    <col min="13" max="13" width="1.109375" customWidth="1"/>
    <col min="14" max="14" width="7.88671875" bestFit="1" customWidth="1"/>
    <col min="15" max="15" width="10.6640625" customWidth="1"/>
    <col min="16" max="16" width="12.6640625" customWidth="1"/>
    <col min="17" max="17" width="11.5546875"/>
    <col min="18" max="18" width="7.88671875" bestFit="1" customWidth="1"/>
    <col min="19" max="19" width="10.6640625" customWidth="1"/>
    <col min="20" max="20" width="12.6640625" customWidth="1"/>
    <col min="21" max="21" width="1.109375" customWidth="1"/>
    <col min="22" max="22" width="7.88671875" bestFit="1" customWidth="1"/>
    <col min="23" max="23" width="10.6640625" customWidth="1"/>
    <col min="24" max="24" width="12.6640625" customWidth="1"/>
    <col min="25" max="25" width="2.6640625" customWidth="1"/>
  </cols>
  <sheetData>
    <row r="1" spans="1:25" ht="14.4" customHeight="1" x14ac:dyDescent="0.3">
      <c r="S1" s="667"/>
      <c r="T1" s="668"/>
      <c r="U1" s="668"/>
      <c r="V1" s="668"/>
      <c r="W1" s="668"/>
      <c r="X1" s="668"/>
      <c r="Y1" s="669"/>
    </row>
    <row r="2" spans="1:25" ht="14.4" customHeight="1" x14ac:dyDescent="0.3">
      <c r="S2" s="670"/>
      <c r="T2" s="671"/>
      <c r="U2" s="671"/>
      <c r="V2" s="671"/>
      <c r="W2" s="671"/>
      <c r="X2" s="671"/>
      <c r="Y2" s="672"/>
    </row>
    <row r="3" spans="1:25" ht="15" customHeight="1" thickBot="1" x14ac:dyDescent="0.35">
      <c r="S3" s="673"/>
      <c r="T3" s="674"/>
      <c r="U3" s="674"/>
      <c r="V3" s="674"/>
      <c r="W3" s="674"/>
      <c r="X3" s="674"/>
      <c r="Y3" s="675"/>
    </row>
    <row r="4" spans="1:25" ht="22.2" customHeight="1" x14ac:dyDescent="0.4">
      <c r="A4" s="586">
        <v>2</v>
      </c>
      <c r="B4" s="587"/>
      <c r="C4" s="588"/>
      <c r="D4" s="595" t="s">
        <v>68</v>
      </c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  <c r="S4" s="301"/>
      <c r="T4" s="302"/>
      <c r="U4" s="302"/>
      <c r="V4" s="302"/>
      <c r="W4" s="302"/>
      <c r="X4" s="302"/>
      <c r="Y4" s="303"/>
    </row>
    <row r="5" spans="1:25" ht="22.2" customHeight="1" x14ac:dyDescent="0.4">
      <c r="A5" s="589"/>
      <c r="B5" s="590"/>
      <c r="C5" s="591"/>
      <c r="D5" s="597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8"/>
      <c r="P5" s="598"/>
      <c r="Q5" s="598"/>
      <c r="R5" s="598"/>
      <c r="S5" s="304"/>
      <c r="T5" s="305"/>
      <c r="U5" s="305"/>
      <c r="V5" s="305"/>
      <c r="W5" s="305"/>
      <c r="X5" s="305"/>
      <c r="Y5" s="306"/>
    </row>
    <row r="6" spans="1:25" ht="22.2" customHeight="1" x14ac:dyDescent="0.3">
      <c r="A6" s="589"/>
      <c r="B6" s="590"/>
      <c r="C6" s="591"/>
      <c r="D6" s="597"/>
      <c r="E6" s="598"/>
      <c r="F6" s="598"/>
      <c r="G6" s="598"/>
      <c r="H6" s="598"/>
      <c r="I6" s="598"/>
      <c r="J6" s="598"/>
      <c r="K6" s="598"/>
      <c r="L6" s="598"/>
      <c r="M6" s="598"/>
      <c r="N6" s="598"/>
      <c r="O6" s="598"/>
      <c r="P6" s="598"/>
      <c r="Q6" s="598"/>
      <c r="R6" s="598"/>
      <c r="S6" s="307"/>
      <c r="T6" s="308"/>
      <c r="U6" s="308"/>
      <c r="V6" s="308"/>
      <c r="W6" s="308"/>
      <c r="X6" s="308"/>
      <c r="Y6" s="306"/>
    </row>
    <row r="7" spans="1:25" ht="22.2" customHeight="1" x14ac:dyDescent="0.3">
      <c r="A7" s="589"/>
      <c r="B7" s="590"/>
      <c r="C7" s="591"/>
      <c r="D7" s="597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598"/>
      <c r="Q7" s="598"/>
      <c r="R7" s="598"/>
      <c r="S7" s="307"/>
      <c r="T7" s="308"/>
      <c r="U7" s="308"/>
      <c r="V7" s="308"/>
      <c r="W7" s="308"/>
      <c r="X7" s="308"/>
      <c r="Y7" s="306"/>
    </row>
    <row r="8" spans="1:25" ht="22.2" customHeight="1" thickBot="1" x14ac:dyDescent="0.35">
      <c r="A8" s="592"/>
      <c r="B8" s="593"/>
      <c r="C8" s="594"/>
      <c r="D8" s="599"/>
      <c r="E8" s="600"/>
      <c r="F8" s="600"/>
      <c r="G8" s="600"/>
      <c r="H8" s="600"/>
      <c r="I8" s="600"/>
      <c r="J8" s="600"/>
      <c r="K8" s="600"/>
      <c r="L8" s="600"/>
      <c r="M8" s="600"/>
      <c r="N8" s="600"/>
      <c r="O8" s="600"/>
      <c r="P8" s="600"/>
      <c r="Q8" s="600"/>
      <c r="R8" s="600"/>
      <c r="S8" s="307"/>
      <c r="T8" s="308"/>
      <c r="U8" s="308"/>
      <c r="V8" s="308"/>
      <c r="W8" s="308"/>
      <c r="X8" s="308"/>
      <c r="Y8" s="306"/>
    </row>
    <row r="9" spans="1:25" ht="14.4" customHeight="1" x14ac:dyDescent="0.3">
      <c r="A9" s="601" t="s">
        <v>91</v>
      </c>
      <c r="B9" s="601"/>
      <c r="C9" s="601"/>
      <c r="D9" s="601"/>
      <c r="E9" s="601"/>
      <c r="F9" s="601"/>
      <c r="G9" s="601"/>
      <c r="H9" s="601"/>
      <c r="I9" s="601"/>
      <c r="J9" s="601"/>
      <c r="K9" s="601"/>
      <c r="L9" s="601"/>
      <c r="M9" s="601"/>
      <c r="N9" s="601"/>
      <c r="O9" s="601"/>
      <c r="P9" s="601"/>
      <c r="Q9" s="601"/>
      <c r="R9" s="601"/>
      <c r="S9" s="309"/>
      <c r="T9" s="105"/>
      <c r="U9" s="105"/>
      <c r="V9" s="105"/>
      <c r="W9" s="105"/>
      <c r="X9" s="105"/>
      <c r="Y9" s="306"/>
    </row>
    <row r="10" spans="1:25" ht="14.4" customHeight="1" x14ac:dyDescent="0.3">
      <c r="A10" s="602"/>
      <c r="B10" s="602"/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  <c r="P10" s="602"/>
      <c r="Q10" s="602"/>
      <c r="R10" s="602"/>
      <c r="S10" s="309"/>
      <c r="T10" s="105"/>
      <c r="U10" s="105"/>
      <c r="V10" s="105"/>
      <c r="W10" s="105"/>
      <c r="X10" s="105"/>
      <c r="Y10" s="306"/>
    </row>
    <row r="11" spans="1:25" ht="14.4" customHeight="1" x14ac:dyDescent="0.3">
      <c r="A11" s="602"/>
      <c r="B11" s="602"/>
      <c r="C11" s="602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309"/>
      <c r="T11" s="105"/>
      <c r="U11" s="105"/>
      <c r="V11" s="105"/>
      <c r="W11" s="105"/>
      <c r="X11" s="105"/>
      <c r="Y11" s="306"/>
    </row>
    <row r="12" spans="1:25" ht="14.4" customHeight="1" thickBot="1" x14ac:dyDescent="0.35">
      <c r="A12" s="602"/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310"/>
      <c r="T12" s="311"/>
      <c r="U12" s="311"/>
      <c r="V12" s="311"/>
      <c r="W12" s="311"/>
      <c r="X12" s="311"/>
      <c r="Y12" s="312"/>
    </row>
    <row r="13" spans="1:25" ht="14.4" customHeight="1" thickBot="1" x14ac:dyDescent="0.35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5"/>
      <c r="T13" s="105"/>
      <c r="U13" s="105"/>
      <c r="V13" s="105"/>
      <c r="W13" s="105"/>
      <c r="X13" s="105"/>
    </row>
    <row r="14" spans="1:25" ht="14.4" customHeight="1" thickBot="1" x14ac:dyDescent="0.35">
      <c r="A14" s="119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1"/>
      <c r="T14" s="121"/>
      <c r="U14" s="121"/>
      <c r="V14" s="121"/>
      <c r="W14" s="121"/>
      <c r="X14" s="121"/>
      <c r="Y14" s="122"/>
    </row>
    <row r="15" spans="1:25" s="95" customFormat="1" ht="20.399999999999999" customHeight="1" x14ac:dyDescent="0.4">
      <c r="A15" s="123"/>
      <c r="B15" s="644" t="s">
        <v>92</v>
      </c>
      <c r="C15" s="645"/>
      <c r="D15" s="645"/>
      <c r="E15" s="645"/>
      <c r="F15" s="645"/>
      <c r="G15" s="627"/>
      <c r="H15" s="627"/>
      <c r="I15" s="627"/>
      <c r="J15" s="627"/>
      <c r="K15" s="627"/>
      <c r="L15" s="627"/>
      <c r="M15" s="627"/>
      <c r="N15" s="628"/>
      <c r="P15" s="635" t="s">
        <v>93</v>
      </c>
      <c r="Q15" s="636"/>
      <c r="R15" s="636"/>
      <c r="S15" s="636"/>
      <c r="T15" s="636"/>
      <c r="U15" s="636"/>
      <c r="V15" s="636"/>
      <c r="W15" s="636"/>
      <c r="X15" s="637"/>
      <c r="Y15" s="124"/>
    </row>
    <row r="16" spans="1:25" s="95" customFormat="1" ht="21" customHeight="1" thickBot="1" x14ac:dyDescent="0.45">
      <c r="A16" s="123"/>
      <c r="B16" s="646"/>
      <c r="C16" s="647"/>
      <c r="D16" s="647"/>
      <c r="E16" s="647"/>
      <c r="F16" s="647"/>
      <c r="G16" s="629"/>
      <c r="H16" s="629"/>
      <c r="I16" s="629"/>
      <c r="J16" s="629"/>
      <c r="K16" s="629"/>
      <c r="L16" s="629"/>
      <c r="M16" s="629"/>
      <c r="N16" s="630"/>
      <c r="P16" s="638"/>
      <c r="Q16" s="639"/>
      <c r="R16" s="639"/>
      <c r="S16" s="639"/>
      <c r="T16" s="639"/>
      <c r="U16" s="639"/>
      <c r="V16" s="639"/>
      <c r="W16" s="639"/>
      <c r="X16" s="640"/>
      <c r="Y16" s="124"/>
    </row>
    <row r="17" spans="1:25" s="95" customFormat="1" ht="20.399999999999999" customHeight="1" x14ac:dyDescent="0.4">
      <c r="A17" s="123"/>
      <c r="B17" s="648" t="s">
        <v>94</v>
      </c>
      <c r="C17" s="649"/>
      <c r="D17" s="649"/>
      <c r="E17" s="649"/>
      <c r="F17" s="649"/>
      <c r="G17" s="631"/>
      <c r="H17" s="631"/>
      <c r="I17" s="631"/>
      <c r="J17" s="631"/>
      <c r="K17" s="631"/>
      <c r="L17" s="631"/>
      <c r="M17" s="631"/>
      <c r="N17" s="632"/>
      <c r="P17" s="638"/>
      <c r="Q17" s="639"/>
      <c r="R17" s="639"/>
      <c r="S17" s="639"/>
      <c r="T17" s="639"/>
      <c r="U17" s="639"/>
      <c r="V17" s="639"/>
      <c r="W17" s="639"/>
      <c r="X17" s="640"/>
      <c r="Y17" s="124"/>
    </row>
    <row r="18" spans="1:25" s="95" customFormat="1" ht="21" customHeight="1" thickBot="1" x14ac:dyDescent="0.45">
      <c r="A18" s="123"/>
      <c r="B18" s="650"/>
      <c r="C18" s="651"/>
      <c r="D18" s="651"/>
      <c r="E18" s="651"/>
      <c r="F18" s="651"/>
      <c r="G18" s="633"/>
      <c r="H18" s="633"/>
      <c r="I18" s="633"/>
      <c r="J18" s="633"/>
      <c r="K18" s="633"/>
      <c r="L18" s="633"/>
      <c r="M18" s="633"/>
      <c r="N18" s="634"/>
      <c r="P18" s="641"/>
      <c r="Q18" s="642"/>
      <c r="R18" s="642"/>
      <c r="S18" s="642"/>
      <c r="T18" s="642"/>
      <c r="U18" s="642"/>
      <c r="V18" s="642"/>
      <c r="W18" s="642"/>
      <c r="X18" s="643"/>
      <c r="Y18" s="124"/>
    </row>
    <row r="19" spans="1:25" ht="17.399999999999999" x14ac:dyDescent="0.35">
      <c r="A19" s="125"/>
      <c r="B19" s="87"/>
      <c r="C19" s="87"/>
      <c r="D19" s="87"/>
      <c r="E19" s="87"/>
      <c r="F19" s="87"/>
      <c r="G19" s="87"/>
      <c r="H19" s="87"/>
      <c r="I19" s="96"/>
      <c r="J19" s="87"/>
      <c r="K19" s="87"/>
      <c r="L19" s="87"/>
      <c r="M19" s="87"/>
      <c r="N19" s="87"/>
      <c r="O19" s="87"/>
      <c r="P19" s="87"/>
      <c r="Q19" s="96"/>
      <c r="R19" s="87"/>
      <c r="S19" s="87"/>
      <c r="T19" s="87"/>
      <c r="U19" s="87"/>
      <c r="V19" s="87"/>
      <c r="W19" s="87"/>
      <c r="X19" s="87"/>
      <c r="Y19" s="126"/>
    </row>
    <row r="20" spans="1:25" ht="33" x14ac:dyDescent="0.65">
      <c r="A20" s="125"/>
      <c r="B20" s="612" t="s">
        <v>95</v>
      </c>
      <c r="C20" s="613"/>
      <c r="D20" s="613"/>
      <c r="E20" s="613"/>
      <c r="F20" s="613"/>
      <c r="G20" s="613"/>
      <c r="H20" s="614"/>
      <c r="I20" s="97"/>
      <c r="J20" s="615" t="s">
        <v>96</v>
      </c>
      <c r="K20" s="616"/>
      <c r="L20" s="616"/>
      <c r="M20" s="616"/>
      <c r="N20" s="616"/>
      <c r="O20" s="616"/>
      <c r="P20" s="617"/>
      <c r="Q20" s="97"/>
      <c r="R20" s="618" t="s">
        <v>97</v>
      </c>
      <c r="S20" s="619"/>
      <c r="T20" s="619"/>
      <c r="U20" s="619"/>
      <c r="V20" s="619"/>
      <c r="W20" s="619"/>
      <c r="X20" s="620"/>
      <c r="Y20" s="126"/>
    </row>
    <row r="21" spans="1:25" ht="33" x14ac:dyDescent="0.65">
      <c r="A21" s="125"/>
      <c r="B21" s="656"/>
      <c r="C21" s="654"/>
      <c r="D21" s="654"/>
      <c r="E21" s="298"/>
      <c r="F21" s="652"/>
      <c r="G21" s="652"/>
      <c r="H21" s="653"/>
      <c r="I21" s="97"/>
      <c r="J21" s="657"/>
      <c r="K21" s="652"/>
      <c r="L21" s="652"/>
      <c r="M21" s="299"/>
      <c r="N21" s="654"/>
      <c r="O21" s="654"/>
      <c r="P21" s="655"/>
      <c r="Q21" s="97"/>
      <c r="R21" s="656"/>
      <c r="S21" s="654"/>
      <c r="T21" s="654"/>
      <c r="U21" s="300"/>
      <c r="V21" s="652"/>
      <c r="W21" s="652"/>
      <c r="X21" s="653"/>
      <c r="Y21" s="126"/>
    </row>
    <row r="22" spans="1:25" s="88" customFormat="1" ht="19.2" x14ac:dyDescent="0.4">
      <c r="A22" s="127"/>
      <c r="B22" s="621" t="s">
        <v>98</v>
      </c>
      <c r="C22" s="622"/>
      <c r="D22" s="623"/>
      <c r="E22" s="136"/>
      <c r="F22" s="624" t="s">
        <v>99</v>
      </c>
      <c r="G22" s="625"/>
      <c r="H22" s="626"/>
      <c r="I22" s="98"/>
      <c r="J22" s="624" t="s">
        <v>99</v>
      </c>
      <c r="K22" s="625"/>
      <c r="L22" s="626"/>
      <c r="M22" s="136"/>
      <c r="N22" s="621" t="s">
        <v>98</v>
      </c>
      <c r="O22" s="622"/>
      <c r="P22" s="623"/>
      <c r="Q22" s="98"/>
      <c r="R22" s="621" t="s">
        <v>98</v>
      </c>
      <c r="S22" s="622"/>
      <c r="T22" s="623"/>
      <c r="U22" s="136"/>
      <c r="V22" s="624" t="s">
        <v>99</v>
      </c>
      <c r="W22" s="625"/>
      <c r="X22" s="626"/>
      <c r="Y22" s="128"/>
    </row>
    <row r="23" spans="1:25" s="90" customFormat="1" ht="22.2" x14ac:dyDescent="0.4">
      <c r="A23" s="129"/>
      <c r="B23" s="139" t="s">
        <v>6</v>
      </c>
      <c r="C23" s="139" t="s">
        <v>5</v>
      </c>
      <c r="D23" s="139" t="s">
        <v>100</v>
      </c>
      <c r="E23" s="137"/>
      <c r="F23" s="139" t="s">
        <v>6</v>
      </c>
      <c r="G23" s="139" t="s">
        <v>5</v>
      </c>
      <c r="H23" s="139" t="s">
        <v>100</v>
      </c>
      <c r="I23" s="99"/>
      <c r="J23" s="140" t="s">
        <v>6</v>
      </c>
      <c r="K23" s="140" t="s">
        <v>5</v>
      </c>
      <c r="L23" s="140" t="s">
        <v>100</v>
      </c>
      <c r="M23" s="138"/>
      <c r="N23" s="140" t="s">
        <v>6</v>
      </c>
      <c r="O23" s="140" t="s">
        <v>5</v>
      </c>
      <c r="P23" s="140" t="s">
        <v>100</v>
      </c>
      <c r="Q23" s="99"/>
      <c r="R23" s="141" t="s">
        <v>6</v>
      </c>
      <c r="S23" s="141" t="s">
        <v>5</v>
      </c>
      <c r="T23" s="141" t="s">
        <v>100</v>
      </c>
      <c r="U23" s="138"/>
      <c r="V23" s="141" t="s">
        <v>6</v>
      </c>
      <c r="W23" s="141" t="s">
        <v>5</v>
      </c>
      <c r="X23" s="141" t="s">
        <v>100</v>
      </c>
      <c r="Y23" s="130"/>
    </row>
    <row r="24" spans="1:25" s="146" customFormat="1" ht="30.6" customHeight="1" x14ac:dyDescent="0.3">
      <c r="A24" s="142"/>
      <c r="B24" s="143">
        <v>1</v>
      </c>
      <c r="C24" s="144"/>
      <c r="D24" s="145"/>
      <c r="F24" s="145">
        <v>1</v>
      </c>
      <c r="G24" s="144"/>
      <c r="H24" s="147"/>
      <c r="I24" s="148"/>
      <c r="J24" s="143">
        <v>1</v>
      </c>
      <c r="K24" s="144"/>
      <c r="L24" s="145"/>
      <c r="N24" s="145">
        <v>1</v>
      </c>
      <c r="O24" s="144"/>
      <c r="P24" s="147"/>
      <c r="Q24" s="148"/>
      <c r="R24" s="143">
        <v>1</v>
      </c>
      <c r="S24" s="144"/>
      <c r="T24" s="145"/>
      <c r="V24" s="145">
        <v>1</v>
      </c>
      <c r="W24" s="144"/>
      <c r="X24" s="147"/>
      <c r="Y24" s="149"/>
    </row>
    <row r="25" spans="1:25" s="146" customFormat="1" ht="30.6" customHeight="1" x14ac:dyDescent="0.3">
      <c r="A25" s="142"/>
      <c r="B25" s="150">
        <v>2</v>
      </c>
      <c r="C25" s="151"/>
      <c r="F25" s="146">
        <v>2</v>
      </c>
      <c r="G25" s="151"/>
      <c r="H25" s="152"/>
      <c r="I25" s="148"/>
      <c r="J25" s="150">
        <v>2</v>
      </c>
      <c r="K25" s="151"/>
      <c r="N25" s="146">
        <v>2</v>
      </c>
      <c r="O25" s="151"/>
      <c r="P25" s="152"/>
      <c r="Q25" s="148"/>
      <c r="R25" s="150">
        <v>2</v>
      </c>
      <c r="S25" s="151"/>
      <c r="V25" s="146">
        <v>2</v>
      </c>
      <c r="W25" s="151"/>
      <c r="X25" s="152"/>
      <c r="Y25" s="149"/>
    </row>
    <row r="26" spans="1:25" s="146" customFormat="1" ht="30.6" customHeight="1" x14ac:dyDescent="0.3">
      <c r="A26" s="142"/>
      <c r="B26" s="143">
        <v>3</v>
      </c>
      <c r="C26" s="144"/>
      <c r="D26" s="145"/>
      <c r="F26" s="145">
        <v>3</v>
      </c>
      <c r="G26" s="144"/>
      <c r="H26" s="147"/>
      <c r="I26" s="148"/>
      <c r="J26" s="143">
        <v>3</v>
      </c>
      <c r="K26" s="144"/>
      <c r="L26" s="145"/>
      <c r="N26" s="145">
        <v>3</v>
      </c>
      <c r="O26" s="144"/>
      <c r="P26" s="147"/>
      <c r="Q26" s="148"/>
      <c r="R26" s="143">
        <v>3</v>
      </c>
      <c r="S26" s="144"/>
      <c r="T26" s="145"/>
      <c r="V26" s="145">
        <v>3</v>
      </c>
      <c r="W26" s="144"/>
      <c r="X26" s="147"/>
      <c r="Y26" s="149"/>
    </row>
    <row r="27" spans="1:25" s="146" customFormat="1" ht="30.6" customHeight="1" x14ac:dyDescent="0.3">
      <c r="A27" s="142"/>
      <c r="B27" s="150">
        <v>4</v>
      </c>
      <c r="C27" s="151"/>
      <c r="F27" s="146">
        <v>4</v>
      </c>
      <c r="G27" s="151"/>
      <c r="H27" s="152"/>
      <c r="I27" s="148"/>
      <c r="J27" s="150">
        <v>4</v>
      </c>
      <c r="K27" s="151"/>
      <c r="N27" s="146">
        <v>4</v>
      </c>
      <c r="O27" s="151"/>
      <c r="P27" s="152"/>
      <c r="Q27" s="148"/>
      <c r="R27" s="150">
        <v>4</v>
      </c>
      <c r="S27" s="151"/>
      <c r="V27" s="146">
        <v>4</v>
      </c>
      <c r="W27" s="151"/>
      <c r="X27" s="152"/>
      <c r="Y27" s="149"/>
    </row>
    <row r="28" spans="1:25" s="146" customFormat="1" ht="30.6" customHeight="1" x14ac:dyDescent="0.3">
      <c r="A28" s="142"/>
      <c r="B28" s="143">
        <v>5</v>
      </c>
      <c r="C28" s="144"/>
      <c r="D28" s="145"/>
      <c r="F28" s="145">
        <v>5</v>
      </c>
      <c r="G28" s="144"/>
      <c r="H28" s="147"/>
      <c r="I28" s="148"/>
      <c r="J28" s="143">
        <v>5</v>
      </c>
      <c r="K28" s="144"/>
      <c r="L28" s="145"/>
      <c r="N28" s="145">
        <v>5</v>
      </c>
      <c r="O28" s="144"/>
      <c r="P28" s="147"/>
      <c r="Q28" s="148"/>
      <c r="R28" s="143">
        <v>5</v>
      </c>
      <c r="S28" s="144"/>
      <c r="T28" s="145"/>
      <c r="V28" s="145">
        <v>5</v>
      </c>
      <c r="W28" s="144"/>
      <c r="X28" s="147"/>
      <c r="Y28" s="149"/>
    </row>
    <row r="29" spans="1:25" s="146" customFormat="1" ht="30.6" customHeight="1" x14ac:dyDescent="0.3">
      <c r="A29" s="142"/>
      <c r="B29" s="150">
        <v>6</v>
      </c>
      <c r="C29" s="151"/>
      <c r="F29" s="146">
        <v>6</v>
      </c>
      <c r="G29" s="151"/>
      <c r="H29" s="152"/>
      <c r="I29" s="148"/>
      <c r="J29" s="150">
        <v>6</v>
      </c>
      <c r="K29" s="151"/>
      <c r="N29" s="146">
        <v>6</v>
      </c>
      <c r="O29" s="151"/>
      <c r="P29" s="152"/>
      <c r="Q29" s="148"/>
      <c r="R29" s="150">
        <v>6</v>
      </c>
      <c r="S29" s="151"/>
      <c r="V29" s="146">
        <v>6</v>
      </c>
      <c r="W29" s="151"/>
      <c r="X29" s="152"/>
      <c r="Y29" s="149"/>
    </row>
    <row r="30" spans="1:25" s="146" customFormat="1" ht="30.6" customHeight="1" x14ac:dyDescent="0.3">
      <c r="A30" s="142"/>
      <c r="B30" s="143">
        <v>7</v>
      </c>
      <c r="C30" s="144"/>
      <c r="D30" s="153"/>
      <c r="F30" s="145">
        <v>7</v>
      </c>
      <c r="G30" s="144"/>
      <c r="H30" s="147"/>
      <c r="I30" s="148"/>
      <c r="J30" s="143">
        <v>7</v>
      </c>
      <c r="K30" s="144"/>
      <c r="L30" s="145"/>
      <c r="N30" s="145">
        <v>7</v>
      </c>
      <c r="O30" s="144"/>
      <c r="P30" s="147"/>
      <c r="Q30" s="148"/>
      <c r="R30" s="143">
        <v>7</v>
      </c>
      <c r="S30" s="144"/>
      <c r="T30" s="145"/>
      <c r="V30" s="145">
        <v>7</v>
      </c>
      <c r="W30" s="144"/>
      <c r="X30" s="147"/>
      <c r="Y30" s="149"/>
    </row>
    <row r="31" spans="1:25" s="146" customFormat="1" ht="30.6" customHeight="1" x14ac:dyDescent="0.3">
      <c r="A31" s="142"/>
      <c r="B31" s="150">
        <v>8</v>
      </c>
      <c r="C31" s="151"/>
      <c r="F31" s="146">
        <v>8</v>
      </c>
      <c r="G31" s="151"/>
      <c r="H31" s="152"/>
      <c r="I31" s="148"/>
      <c r="J31" s="150">
        <v>8</v>
      </c>
      <c r="K31" s="151"/>
      <c r="N31" s="146">
        <v>8</v>
      </c>
      <c r="O31" s="151"/>
      <c r="P31" s="152"/>
      <c r="Q31" s="148"/>
      <c r="R31" s="150">
        <v>8</v>
      </c>
      <c r="S31" s="151"/>
      <c r="V31" s="146">
        <v>8</v>
      </c>
      <c r="W31" s="151"/>
      <c r="X31" s="152"/>
      <c r="Y31" s="149"/>
    </row>
    <row r="32" spans="1:25" s="146" customFormat="1" ht="30.6" customHeight="1" x14ac:dyDescent="0.3">
      <c r="A32" s="142"/>
      <c r="B32" s="143">
        <v>9</v>
      </c>
      <c r="C32" s="144"/>
      <c r="D32" s="145"/>
      <c r="F32" s="145">
        <v>9</v>
      </c>
      <c r="G32" s="144"/>
      <c r="H32" s="147"/>
      <c r="I32" s="148"/>
      <c r="J32" s="143">
        <v>9</v>
      </c>
      <c r="K32" s="144"/>
      <c r="L32" s="145"/>
      <c r="N32" s="145">
        <v>9</v>
      </c>
      <c r="O32" s="144"/>
      <c r="P32" s="147"/>
      <c r="Q32" s="148"/>
      <c r="R32" s="143">
        <v>9</v>
      </c>
      <c r="S32" s="144"/>
      <c r="T32" s="145"/>
      <c r="V32" s="145">
        <v>9</v>
      </c>
      <c r="W32" s="144"/>
      <c r="X32" s="147"/>
      <c r="Y32" s="149"/>
    </row>
    <row r="33" spans="1:25" s="146" customFormat="1" ht="30.6" customHeight="1" x14ac:dyDescent="0.3">
      <c r="A33" s="142"/>
      <c r="B33" s="150">
        <v>10</v>
      </c>
      <c r="C33" s="151"/>
      <c r="F33" s="146">
        <v>10</v>
      </c>
      <c r="G33" s="151"/>
      <c r="H33" s="152"/>
      <c r="I33" s="148"/>
      <c r="J33" s="150">
        <v>10</v>
      </c>
      <c r="K33" s="151"/>
      <c r="N33" s="146">
        <v>10</v>
      </c>
      <c r="O33" s="151"/>
      <c r="P33" s="152"/>
      <c r="Q33" s="148"/>
      <c r="R33" s="150">
        <v>10</v>
      </c>
      <c r="S33" s="151"/>
      <c r="V33" s="146">
        <v>10</v>
      </c>
      <c r="W33" s="151"/>
      <c r="X33" s="152"/>
      <c r="Y33" s="149"/>
    </row>
    <row r="34" spans="1:25" s="146" customFormat="1" ht="30.6" customHeight="1" x14ac:dyDescent="0.3">
      <c r="A34" s="142"/>
      <c r="B34" s="143">
        <v>11</v>
      </c>
      <c r="C34" s="144"/>
      <c r="D34" s="145"/>
      <c r="F34" s="145">
        <v>11</v>
      </c>
      <c r="G34" s="144"/>
      <c r="H34" s="147"/>
      <c r="I34" s="148"/>
      <c r="J34" s="143">
        <v>11</v>
      </c>
      <c r="K34" s="144"/>
      <c r="L34" s="145"/>
      <c r="N34" s="145">
        <v>11</v>
      </c>
      <c r="O34" s="144"/>
      <c r="P34" s="147"/>
      <c r="Q34" s="148"/>
      <c r="R34" s="143">
        <v>11</v>
      </c>
      <c r="S34" s="144"/>
      <c r="T34" s="145"/>
      <c r="V34" s="145">
        <v>11</v>
      </c>
      <c r="W34" s="144"/>
      <c r="X34" s="147"/>
      <c r="Y34" s="149"/>
    </row>
    <row r="35" spans="1:25" s="146" customFormat="1" ht="30.6" customHeight="1" x14ac:dyDescent="0.3">
      <c r="A35" s="142"/>
      <c r="B35" s="150">
        <v>12</v>
      </c>
      <c r="C35" s="151"/>
      <c r="F35" s="146">
        <v>12</v>
      </c>
      <c r="G35" s="151"/>
      <c r="H35" s="152"/>
      <c r="I35" s="148"/>
      <c r="J35" s="150">
        <v>12</v>
      </c>
      <c r="K35" s="151"/>
      <c r="N35" s="146">
        <v>12</v>
      </c>
      <c r="O35" s="151"/>
      <c r="P35" s="152"/>
      <c r="Q35" s="148"/>
      <c r="R35" s="150">
        <v>12</v>
      </c>
      <c r="S35" s="151"/>
      <c r="V35" s="146">
        <v>12</v>
      </c>
      <c r="W35" s="151"/>
      <c r="X35" s="152"/>
      <c r="Y35" s="149"/>
    </row>
    <row r="36" spans="1:25" s="146" customFormat="1" ht="30.6" customHeight="1" x14ac:dyDescent="0.3">
      <c r="A36" s="142"/>
      <c r="B36" s="143">
        <v>13</v>
      </c>
      <c r="C36" s="144"/>
      <c r="D36" s="145"/>
      <c r="F36" s="145">
        <v>13</v>
      </c>
      <c r="G36" s="144"/>
      <c r="H36" s="147"/>
      <c r="I36" s="148"/>
      <c r="J36" s="143">
        <v>13</v>
      </c>
      <c r="K36" s="144"/>
      <c r="L36" s="145"/>
      <c r="N36" s="145">
        <v>13</v>
      </c>
      <c r="O36" s="144"/>
      <c r="P36" s="147"/>
      <c r="Q36" s="148"/>
      <c r="R36" s="143">
        <v>13</v>
      </c>
      <c r="S36" s="144"/>
      <c r="T36" s="145"/>
      <c r="V36" s="145">
        <v>13</v>
      </c>
      <c r="W36" s="144"/>
      <c r="X36" s="147"/>
      <c r="Y36" s="149"/>
    </row>
    <row r="37" spans="1:25" s="146" customFormat="1" ht="30.6" customHeight="1" x14ac:dyDescent="0.3">
      <c r="A37" s="142"/>
      <c r="B37" s="150">
        <v>14</v>
      </c>
      <c r="C37" s="314" t="s">
        <v>115</v>
      </c>
      <c r="D37" s="314" t="s">
        <v>115</v>
      </c>
      <c r="F37" s="146">
        <v>14</v>
      </c>
      <c r="G37" s="314" t="s">
        <v>115</v>
      </c>
      <c r="H37" s="314" t="s">
        <v>115</v>
      </c>
      <c r="I37" s="148"/>
      <c r="J37" s="150">
        <v>14</v>
      </c>
      <c r="K37" s="314" t="s">
        <v>115</v>
      </c>
      <c r="L37" s="314" t="s">
        <v>115</v>
      </c>
      <c r="N37" s="146">
        <v>14</v>
      </c>
      <c r="O37" s="314" t="s">
        <v>115</v>
      </c>
      <c r="P37" s="314" t="s">
        <v>115</v>
      </c>
      <c r="Q37" s="148"/>
      <c r="R37" s="150">
        <v>14</v>
      </c>
      <c r="S37" s="314" t="s">
        <v>115</v>
      </c>
      <c r="T37" s="314" t="s">
        <v>115</v>
      </c>
      <c r="V37" s="146">
        <v>14</v>
      </c>
      <c r="W37" s="314" t="s">
        <v>115</v>
      </c>
      <c r="X37" s="314" t="s">
        <v>115</v>
      </c>
      <c r="Y37" s="149"/>
    </row>
    <row r="38" spans="1:25" s="146" customFormat="1" ht="30.6" customHeight="1" x14ac:dyDescent="0.3">
      <c r="A38" s="142"/>
      <c r="B38" s="154">
        <v>15</v>
      </c>
      <c r="C38" s="315" t="s">
        <v>115</v>
      </c>
      <c r="D38" s="315" t="s">
        <v>115</v>
      </c>
      <c r="E38" s="156"/>
      <c r="F38" s="155">
        <v>15</v>
      </c>
      <c r="G38" s="315" t="s">
        <v>115</v>
      </c>
      <c r="H38" s="315" t="s">
        <v>115</v>
      </c>
      <c r="I38" s="148"/>
      <c r="J38" s="154">
        <v>15</v>
      </c>
      <c r="K38" s="315" t="s">
        <v>115</v>
      </c>
      <c r="L38" s="315" t="s">
        <v>115</v>
      </c>
      <c r="M38" s="156"/>
      <c r="N38" s="155">
        <v>15</v>
      </c>
      <c r="O38" s="315" t="s">
        <v>115</v>
      </c>
      <c r="P38" s="315" t="s">
        <v>115</v>
      </c>
      <c r="Q38" s="148"/>
      <c r="R38" s="154">
        <v>15</v>
      </c>
      <c r="S38" s="315" t="s">
        <v>115</v>
      </c>
      <c r="T38" s="315" t="s">
        <v>115</v>
      </c>
      <c r="U38" s="156"/>
      <c r="V38" s="155">
        <v>15</v>
      </c>
      <c r="W38" s="315" t="s">
        <v>115</v>
      </c>
      <c r="X38" s="315" t="s">
        <v>115</v>
      </c>
      <c r="Y38" s="149"/>
    </row>
    <row r="39" spans="1:25" s="89" customFormat="1" ht="7.95" customHeight="1" thickBot="1" x14ac:dyDescent="0.45">
      <c r="A39" s="131"/>
      <c r="C39" s="91"/>
      <c r="D39" s="91"/>
      <c r="E39" s="102"/>
      <c r="F39" s="94"/>
      <c r="G39" s="91"/>
      <c r="H39" s="91"/>
      <c r="I39" s="91"/>
      <c r="J39" s="94"/>
      <c r="K39" s="91"/>
      <c r="L39" s="91"/>
      <c r="M39" s="102"/>
      <c r="N39" s="94"/>
      <c r="O39" s="91"/>
      <c r="P39" s="91"/>
      <c r="Q39" s="91"/>
      <c r="R39" s="94"/>
      <c r="S39" s="91"/>
      <c r="T39" s="91"/>
      <c r="U39" s="102"/>
      <c r="V39" s="94"/>
      <c r="W39" s="91"/>
      <c r="X39" s="91"/>
      <c r="Y39" s="132"/>
    </row>
    <row r="40" spans="1:25" s="95" customFormat="1" ht="27.6" customHeight="1" x14ac:dyDescent="0.4">
      <c r="A40" s="123"/>
      <c r="B40" s="606" t="s">
        <v>101</v>
      </c>
      <c r="C40" s="607"/>
      <c r="D40" s="607"/>
      <c r="E40" s="607"/>
      <c r="F40" s="607"/>
      <c r="G40" s="607"/>
      <c r="H40" s="608"/>
      <c r="I40" s="101"/>
      <c r="J40" s="606" t="s">
        <v>102</v>
      </c>
      <c r="K40" s="607"/>
      <c r="L40" s="607"/>
      <c r="M40" s="607"/>
      <c r="N40" s="607"/>
      <c r="O40" s="607"/>
      <c r="P40" s="608"/>
      <c r="Q40" s="101"/>
      <c r="R40" s="606" t="s">
        <v>103</v>
      </c>
      <c r="S40" s="607"/>
      <c r="T40" s="607"/>
      <c r="U40" s="607"/>
      <c r="V40" s="607"/>
      <c r="W40" s="607"/>
      <c r="X40" s="608"/>
      <c r="Y40" s="124"/>
    </row>
    <row r="41" spans="1:25" s="95" customFormat="1" ht="27.6" customHeight="1" thickBot="1" x14ac:dyDescent="0.45">
      <c r="A41" s="123"/>
      <c r="B41" s="609"/>
      <c r="C41" s="610"/>
      <c r="D41" s="610"/>
      <c r="E41" s="610"/>
      <c r="F41" s="610"/>
      <c r="G41" s="610"/>
      <c r="H41" s="611"/>
      <c r="I41" s="101"/>
      <c r="J41" s="609"/>
      <c r="K41" s="610"/>
      <c r="L41" s="610"/>
      <c r="M41" s="610"/>
      <c r="N41" s="610"/>
      <c r="O41" s="610"/>
      <c r="P41" s="611"/>
      <c r="Q41" s="101"/>
      <c r="R41" s="609"/>
      <c r="S41" s="610"/>
      <c r="T41" s="610"/>
      <c r="U41" s="610"/>
      <c r="V41" s="610"/>
      <c r="W41" s="610"/>
      <c r="X41" s="611"/>
      <c r="Y41" s="124"/>
    </row>
    <row r="42" spans="1:25" ht="5.4" customHeight="1" x14ac:dyDescent="0.35">
      <c r="A42" s="125"/>
      <c r="B42" s="92"/>
      <c r="C42" s="87"/>
      <c r="D42" s="87"/>
      <c r="E42" s="87"/>
      <c r="F42" s="92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96"/>
      <c r="R42" s="87"/>
      <c r="S42" s="87"/>
      <c r="T42" s="87"/>
      <c r="U42" s="87"/>
      <c r="V42" s="87"/>
      <c r="W42" s="87"/>
      <c r="X42" s="87"/>
      <c r="Y42" s="126"/>
    </row>
    <row r="43" spans="1:25" ht="17.399999999999999" x14ac:dyDescent="0.35">
      <c r="A43" s="125"/>
      <c r="B43" s="92"/>
      <c r="C43" s="87"/>
      <c r="D43" s="87"/>
      <c r="E43" s="87"/>
      <c r="F43" s="603" t="s">
        <v>104</v>
      </c>
      <c r="G43" s="603"/>
      <c r="H43" s="603"/>
      <c r="I43" s="603"/>
      <c r="J43" s="603"/>
      <c r="K43" s="603"/>
      <c r="L43" s="603"/>
      <c r="M43" s="603"/>
      <c r="N43" s="603"/>
      <c r="O43" s="603"/>
      <c r="P43" s="603"/>
      <c r="Q43" s="603"/>
      <c r="R43" s="603"/>
      <c r="S43" s="603"/>
      <c r="T43" s="603"/>
      <c r="U43" s="87"/>
      <c r="V43" s="87"/>
      <c r="W43" s="87"/>
      <c r="X43" s="87"/>
      <c r="Y43" s="126"/>
    </row>
    <row r="44" spans="1:25" ht="18" thickBot="1" x14ac:dyDescent="0.4">
      <c r="A44" s="125"/>
      <c r="B44" s="92"/>
      <c r="C44" s="87"/>
      <c r="D44" s="87"/>
      <c r="E44" s="87"/>
      <c r="F44" s="603"/>
      <c r="G44" s="603"/>
      <c r="H44" s="603"/>
      <c r="I44" s="603"/>
      <c r="J44" s="603"/>
      <c r="K44" s="603"/>
      <c r="L44" s="603"/>
      <c r="M44" s="603"/>
      <c r="N44" s="603"/>
      <c r="O44" s="603"/>
      <c r="P44" s="603"/>
      <c r="Q44" s="603"/>
      <c r="R44" s="603"/>
      <c r="S44" s="603"/>
      <c r="T44" s="603"/>
      <c r="U44" s="87"/>
      <c r="V44" s="87"/>
      <c r="W44" s="87"/>
      <c r="X44" s="87"/>
      <c r="Y44" s="126"/>
    </row>
    <row r="45" spans="1:25" ht="17.399999999999999" x14ac:dyDescent="0.35">
      <c r="A45" s="125"/>
      <c r="B45" s="92"/>
      <c r="C45" s="87"/>
      <c r="D45" s="87"/>
      <c r="E45" s="87"/>
      <c r="F45" s="113"/>
      <c r="G45" s="114"/>
      <c r="H45" s="114"/>
      <c r="I45" s="114"/>
      <c r="J45" s="114"/>
      <c r="K45" s="114"/>
      <c r="L45" s="114"/>
      <c r="M45" s="108"/>
      <c r="N45" s="111"/>
      <c r="O45" s="111"/>
      <c r="P45" s="111"/>
      <c r="Q45" s="111"/>
      <c r="R45" s="111"/>
      <c r="S45" s="111"/>
      <c r="T45" s="112"/>
      <c r="U45" s="87"/>
      <c r="V45" s="87"/>
      <c r="W45" s="87"/>
      <c r="X45" s="87"/>
      <c r="Y45" s="126"/>
    </row>
    <row r="46" spans="1:25" ht="17.399999999999999" x14ac:dyDescent="0.35">
      <c r="A46" s="125"/>
      <c r="B46" s="92"/>
      <c r="C46" s="87"/>
      <c r="D46" s="87"/>
      <c r="E46" s="87"/>
      <c r="F46" s="115"/>
      <c r="G46" s="106"/>
      <c r="H46" s="106"/>
      <c r="I46" s="106"/>
      <c r="J46" s="106"/>
      <c r="K46" s="106"/>
      <c r="L46" s="106"/>
      <c r="M46" s="109"/>
      <c r="N46" s="87"/>
      <c r="O46" s="87"/>
      <c r="P46" s="87"/>
      <c r="Q46" s="87"/>
      <c r="R46" s="87"/>
      <c r="S46" s="87"/>
      <c r="T46" s="93"/>
      <c r="U46" s="87"/>
      <c r="V46" s="87"/>
      <c r="W46" s="87"/>
      <c r="X46" s="87"/>
      <c r="Y46" s="126"/>
    </row>
    <row r="47" spans="1:25" ht="17.399999999999999" x14ac:dyDescent="0.35">
      <c r="A47" s="125"/>
      <c r="B47" s="92"/>
      <c r="C47" s="87"/>
      <c r="D47" s="87"/>
      <c r="E47" s="87"/>
      <c r="F47" s="115"/>
      <c r="G47" s="106"/>
      <c r="H47" s="106"/>
      <c r="I47" s="106"/>
      <c r="J47" s="106"/>
      <c r="K47" s="106"/>
      <c r="L47" s="106"/>
      <c r="M47" s="109"/>
      <c r="N47" s="87"/>
      <c r="O47" s="87"/>
      <c r="P47" s="87"/>
      <c r="Q47" s="87"/>
      <c r="R47" s="87"/>
      <c r="S47" s="87"/>
      <c r="T47" s="93"/>
      <c r="U47" s="87"/>
      <c r="V47" s="87"/>
      <c r="W47" s="87"/>
      <c r="X47" s="87"/>
      <c r="Y47" s="126"/>
    </row>
    <row r="48" spans="1:25" ht="17.399999999999999" x14ac:dyDescent="0.35">
      <c r="A48" s="125"/>
      <c r="B48" s="92"/>
      <c r="C48" s="87"/>
      <c r="D48" s="87"/>
      <c r="E48" s="87"/>
      <c r="F48" s="115"/>
      <c r="G48" s="106"/>
      <c r="H48" s="106"/>
      <c r="I48" s="106"/>
      <c r="J48" s="106"/>
      <c r="K48" s="106"/>
      <c r="L48" s="106"/>
      <c r="M48" s="109"/>
      <c r="N48" s="87"/>
      <c r="O48" s="87"/>
      <c r="P48" s="87"/>
      <c r="Q48" s="87"/>
      <c r="R48" s="87"/>
      <c r="S48" s="87"/>
      <c r="T48" s="93"/>
      <c r="U48" s="87"/>
      <c r="V48" s="87"/>
      <c r="W48" s="87"/>
      <c r="X48" s="87"/>
      <c r="Y48" s="126"/>
    </row>
    <row r="49" spans="1:25" ht="18" thickBot="1" x14ac:dyDescent="0.4">
      <c r="A49" s="125"/>
      <c r="B49" s="92"/>
      <c r="C49" s="87"/>
      <c r="D49" s="87"/>
      <c r="E49" s="87"/>
      <c r="F49" s="115"/>
      <c r="G49" s="116"/>
      <c r="H49" s="116"/>
      <c r="I49" s="116"/>
      <c r="J49" s="116"/>
      <c r="K49" s="116"/>
      <c r="L49" s="106"/>
      <c r="M49" s="109"/>
      <c r="N49" s="87"/>
      <c r="O49" s="100"/>
      <c r="P49" s="100"/>
      <c r="Q49" s="100"/>
      <c r="R49" s="100"/>
      <c r="S49" s="100"/>
      <c r="T49" s="93"/>
      <c r="U49" s="87"/>
      <c r="V49" s="87"/>
      <c r="W49" s="87"/>
      <c r="X49" s="87"/>
      <c r="Y49" s="126"/>
    </row>
    <row r="50" spans="1:25" ht="21.6" thickTop="1" thickBot="1" x14ac:dyDescent="0.4">
      <c r="A50" s="125"/>
      <c r="B50" s="92"/>
      <c r="C50" s="87"/>
      <c r="D50" s="87"/>
      <c r="E50" s="87"/>
      <c r="F50" s="118"/>
      <c r="G50" s="604" t="s">
        <v>105</v>
      </c>
      <c r="H50" s="604"/>
      <c r="I50" s="604"/>
      <c r="J50" s="604"/>
      <c r="K50" s="604"/>
      <c r="L50" s="117"/>
      <c r="M50" s="110"/>
      <c r="N50" s="134"/>
      <c r="O50" s="605" t="s">
        <v>106</v>
      </c>
      <c r="P50" s="605"/>
      <c r="Q50" s="605"/>
      <c r="R50" s="605"/>
      <c r="S50" s="605"/>
      <c r="T50" s="135"/>
      <c r="U50" s="87"/>
      <c r="V50" s="87"/>
      <c r="W50" s="87"/>
      <c r="X50" s="87"/>
      <c r="Y50" s="126"/>
    </row>
    <row r="51" spans="1:25" ht="18" thickBot="1" x14ac:dyDescent="0.4">
      <c r="A51" s="118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33"/>
    </row>
    <row r="52" spans="1:25" ht="9" customHeight="1" thickBot="1" x14ac:dyDescent="0.4"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</row>
    <row r="53" spans="1:25" ht="14.4" customHeight="1" x14ac:dyDescent="0.3">
      <c r="A53" s="692" t="s">
        <v>121</v>
      </c>
      <c r="B53" s="693"/>
      <c r="C53" s="693"/>
      <c r="D53" s="693"/>
      <c r="E53" s="693"/>
      <c r="F53" s="693"/>
      <c r="G53" s="693"/>
      <c r="H53" s="693"/>
      <c r="I53" s="693"/>
      <c r="J53" s="693"/>
      <c r="K53" s="693"/>
      <c r="L53" s="693"/>
      <c r="M53" s="693"/>
      <c r="N53" s="693"/>
      <c r="O53" s="693"/>
      <c r="P53" s="693"/>
      <c r="Q53" s="693"/>
      <c r="R53" s="693"/>
      <c r="S53" s="693"/>
      <c r="T53" s="693"/>
      <c r="U53" s="693"/>
      <c r="V53" s="693"/>
      <c r="W53" s="693"/>
      <c r="X53" s="693"/>
      <c r="Y53" s="694"/>
    </row>
    <row r="54" spans="1:25" ht="14.4" customHeight="1" thickBot="1" x14ac:dyDescent="0.35">
      <c r="A54" s="695"/>
      <c r="B54" s="696"/>
      <c r="C54" s="696"/>
      <c r="D54" s="696"/>
      <c r="E54" s="696"/>
      <c r="F54" s="696"/>
      <c r="G54" s="696"/>
      <c r="H54" s="696"/>
      <c r="I54" s="696"/>
      <c r="J54" s="696"/>
      <c r="K54" s="696"/>
      <c r="L54" s="696"/>
      <c r="M54" s="696"/>
      <c r="N54" s="696"/>
      <c r="O54" s="696"/>
      <c r="P54" s="696"/>
      <c r="Q54" s="696"/>
      <c r="R54" s="696"/>
      <c r="S54" s="696"/>
      <c r="T54" s="696"/>
      <c r="U54" s="696"/>
      <c r="V54" s="696"/>
      <c r="W54" s="696"/>
      <c r="X54" s="696"/>
      <c r="Y54" s="697"/>
    </row>
    <row r="56" spans="1:25" ht="15" thickBot="1" x14ac:dyDescent="0.35">
      <c r="A56" s="313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</row>
    <row r="58" spans="1:25" x14ac:dyDescent="0.3">
      <c r="J58" s="689" t="s">
        <v>113</v>
      </c>
      <c r="K58" s="689"/>
      <c r="L58" s="689"/>
      <c r="M58" s="689"/>
      <c r="N58" s="689"/>
      <c r="O58" s="689"/>
      <c r="P58" s="689"/>
    </row>
    <row r="59" spans="1:25" x14ac:dyDescent="0.3">
      <c r="J59" s="689"/>
      <c r="K59" s="689"/>
      <c r="L59" s="689"/>
      <c r="M59" s="689"/>
      <c r="N59" s="689"/>
      <c r="O59" s="689"/>
      <c r="P59" s="689"/>
    </row>
    <row r="63" spans="1:25" ht="24.6" thickBot="1" x14ac:dyDescent="0.55000000000000004">
      <c r="D63" s="677" t="s">
        <v>114</v>
      </c>
      <c r="E63" s="677"/>
      <c r="F63" s="677"/>
      <c r="G63" s="677"/>
      <c r="H63" s="677"/>
      <c r="I63" s="678" t="s">
        <v>116</v>
      </c>
      <c r="J63" s="678"/>
      <c r="K63" s="678"/>
      <c r="L63" s="678"/>
      <c r="M63" s="678"/>
      <c r="N63" s="679" t="s">
        <v>117</v>
      </c>
      <c r="O63" s="679"/>
      <c r="P63" s="679"/>
      <c r="Q63" s="679"/>
      <c r="R63" s="679"/>
      <c r="S63" s="691" t="s">
        <v>118</v>
      </c>
      <c r="T63" s="691"/>
      <c r="U63" s="691"/>
      <c r="V63" s="691"/>
      <c r="W63" s="691"/>
    </row>
    <row r="64" spans="1:25" ht="14.4" customHeight="1" x14ac:dyDescent="0.3">
      <c r="D64" s="690" t="s">
        <v>92</v>
      </c>
      <c r="E64" s="690"/>
      <c r="F64" s="690"/>
      <c r="G64" s="690"/>
      <c r="H64" s="690"/>
      <c r="I64" s="680"/>
      <c r="J64" s="681"/>
      <c r="K64" s="681"/>
      <c r="L64" s="681"/>
      <c r="M64" s="682"/>
      <c r="N64" s="680"/>
      <c r="O64" s="681"/>
      <c r="P64" s="681"/>
      <c r="Q64" s="681"/>
      <c r="R64" s="682"/>
      <c r="S64" s="680"/>
      <c r="T64" s="681"/>
      <c r="U64" s="681"/>
      <c r="V64" s="681"/>
      <c r="W64" s="682"/>
    </row>
    <row r="65" spans="4:23" ht="14.4" customHeight="1" x14ac:dyDescent="0.3">
      <c r="D65" s="690"/>
      <c r="E65" s="690"/>
      <c r="F65" s="690"/>
      <c r="G65" s="690"/>
      <c r="H65" s="690"/>
      <c r="I65" s="683"/>
      <c r="J65" s="684"/>
      <c r="K65" s="684"/>
      <c r="L65" s="684"/>
      <c r="M65" s="685"/>
      <c r="N65" s="683"/>
      <c r="O65" s="684"/>
      <c r="P65" s="684"/>
      <c r="Q65" s="684"/>
      <c r="R65" s="685"/>
      <c r="S65" s="683"/>
      <c r="T65" s="684"/>
      <c r="U65" s="684"/>
      <c r="V65" s="684"/>
      <c r="W65" s="685"/>
    </row>
    <row r="66" spans="4:23" ht="14.4" customHeight="1" x14ac:dyDescent="0.3">
      <c r="D66" s="690"/>
      <c r="E66" s="690"/>
      <c r="F66" s="690"/>
      <c r="G66" s="690"/>
      <c r="H66" s="690"/>
      <c r="I66" s="683"/>
      <c r="J66" s="684"/>
      <c r="K66" s="684"/>
      <c r="L66" s="684"/>
      <c r="M66" s="685"/>
      <c r="N66" s="683"/>
      <c r="O66" s="684"/>
      <c r="P66" s="684"/>
      <c r="Q66" s="684"/>
      <c r="R66" s="685"/>
      <c r="S66" s="683"/>
      <c r="T66" s="684"/>
      <c r="U66" s="684"/>
      <c r="V66" s="684"/>
      <c r="W66" s="685"/>
    </row>
    <row r="67" spans="4:23" ht="15" customHeight="1" thickBot="1" x14ac:dyDescent="0.35">
      <c r="D67" s="690"/>
      <c r="E67" s="690"/>
      <c r="F67" s="690"/>
      <c r="G67" s="690"/>
      <c r="H67" s="690"/>
      <c r="I67" s="686"/>
      <c r="J67" s="687"/>
      <c r="K67" s="687"/>
      <c r="L67" s="687"/>
      <c r="M67" s="688"/>
      <c r="N67" s="686"/>
      <c r="O67" s="687"/>
      <c r="P67" s="687"/>
      <c r="Q67" s="687"/>
      <c r="R67" s="688"/>
      <c r="S67" s="686"/>
      <c r="T67" s="687"/>
      <c r="U67" s="687"/>
      <c r="V67" s="687"/>
      <c r="W67" s="688"/>
    </row>
    <row r="68" spans="4:23" ht="14.4" customHeight="1" x14ac:dyDescent="0.3">
      <c r="D68" s="676" t="s">
        <v>119</v>
      </c>
      <c r="E68" s="676"/>
      <c r="F68" s="676"/>
      <c r="G68" s="676"/>
      <c r="H68" s="676"/>
      <c r="I68" s="658"/>
      <c r="J68" s="659"/>
      <c r="K68" s="659"/>
      <c r="L68" s="659"/>
      <c r="M68" s="660"/>
      <c r="N68" s="658"/>
      <c r="O68" s="659"/>
      <c r="P68" s="659"/>
      <c r="Q68" s="659"/>
      <c r="R68" s="660"/>
      <c r="S68" s="658"/>
      <c r="T68" s="659"/>
      <c r="U68" s="659"/>
      <c r="V68" s="659"/>
      <c r="W68" s="660"/>
    </row>
    <row r="69" spans="4:23" ht="14.4" customHeight="1" x14ac:dyDescent="0.3">
      <c r="D69" s="676"/>
      <c r="E69" s="676"/>
      <c r="F69" s="676"/>
      <c r="G69" s="676"/>
      <c r="H69" s="676"/>
      <c r="I69" s="661"/>
      <c r="J69" s="662"/>
      <c r="K69" s="662"/>
      <c r="L69" s="662"/>
      <c r="M69" s="663"/>
      <c r="N69" s="661"/>
      <c r="O69" s="662"/>
      <c r="P69" s="662"/>
      <c r="Q69" s="662"/>
      <c r="R69" s="663"/>
      <c r="S69" s="661"/>
      <c r="T69" s="662"/>
      <c r="U69" s="662"/>
      <c r="V69" s="662"/>
      <c r="W69" s="663"/>
    </row>
    <row r="70" spans="4:23" ht="14.4" customHeight="1" x14ac:dyDescent="0.3">
      <c r="D70" s="676"/>
      <c r="E70" s="676"/>
      <c r="F70" s="676"/>
      <c r="G70" s="676"/>
      <c r="H70" s="676"/>
      <c r="I70" s="661"/>
      <c r="J70" s="662"/>
      <c r="K70" s="662"/>
      <c r="L70" s="662"/>
      <c r="M70" s="663"/>
      <c r="N70" s="661"/>
      <c r="O70" s="662"/>
      <c r="P70" s="662"/>
      <c r="Q70" s="662"/>
      <c r="R70" s="663"/>
      <c r="S70" s="661"/>
      <c r="T70" s="662"/>
      <c r="U70" s="662"/>
      <c r="V70" s="662"/>
      <c r="W70" s="663"/>
    </row>
    <row r="71" spans="4:23" ht="15" customHeight="1" thickBot="1" x14ac:dyDescent="0.35">
      <c r="D71" s="676"/>
      <c r="E71" s="676"/>
      <c r="F71" s="676"/>
      <c r="G71" s="676"/>
      <c r="H71" s="676"/>
      <c r="I71" s="664"/>
      <c r="J71" s="665"/>
      <c r="K71" s="665"/>
      <c r="L71" s="665"/>
      <c r="M71" s="666"/>
      <c r="N71" s="664"/>
      <c r="O71" s="665"/>
      <c r="P71" s="665"/>
      <c r="Q71" s="665"/>
      <c r="R71" s="666"/>
      <c r="S71" s="664"/>
      <c r="T71" s="665"/>
      <c r="U71" s="665"/>
      <c r="V71" s="665"/>
      <c r="W71" s="666"/>
    </row>
  </sheetData>
  <mergeCells count="44">
    <mergeCell ref="S68:W71"/>
    <mergeCell ref="S1:Y3"/>
    <mergeCell ref="D68:H71"/>
    <mergeCell ref="D63:H63"/>
    <mergeCell ref="I63:M63"/>
    <mergeCell ref="N63:R63"/>
    <mergeCell ref="I64:M67"/>
    <mergeCell ref="I68:M71"/>
    <mergeCell ref="N64:R67"/>
    <mergeCell ref="N68:R71"/>
    <mergeCell ref="J58:P59"/>
    <mergeCell ref="D64:H67"/>
    <mergeCell ref="S63:W63"/>
    <mergeCell ref="S64:W67"/>
    <mergeCell ref="V22:X22"/>
    <mergeCell ref="A53:Y54"/>
    <mergeCell ref="G15:N16"/>
    <mergeCell ref="G17:N18"/>
    <mergeCell ref="P15:X18"/>
    <mergeCell ref="J40:P41"/>
    <mergeCell ref="B15:F16"/>
    <mergeCell ref="B17:F18"/>
    <mergeCell ref="V21:X21"/>
    <mergeCell ref="N21:P21"/>
    <mergeCell ref="F21:H21"/>
    <mergeCell ref="R21:T21"/>
    <mergeCell ref="J21:L21"/>
    <mergeCell ref="B21:D21"/>
    <mergeCell ref="A4:C8"/>
    <mergeCell ref="D4:R8"/>
    <mergeCell ref="A9:R12"/>
    <mergeCell ref="F43:T44"/>
    <mergeCell ref="G50:K50"/>
    <mergeCell ref="O50:S50"/>
    <mergeCell ref="B40:H41"/>
    <mergeCell ref="R40:X41"/>
    <mergeCell ref="B20:H20"/>
    <mergeCell ref="J20:P20"/>
    <mergeCell ref="R20:X20"/>
    <mergeCell ref="B22:D22"/>
    <mergeCell ref="F22:H22"/>
    <mergeCell ref="J22:L22"/>
    <mergeCell ref="N22:P22"/>
    <mergeCell ref="R22:T22"/>
  </mergeCells>
  <pageMargins left="0.23622047244094491" right="0.11811023622047245" top="0.39370078740157483" bottom="0.39370078740157483" header="0.31496062992125984" footer="0.78740157480314965"/>
  <pageSetup scale="47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RANKING</vt:lpstr>
      <vt:lpstr>LLAVES</vt:lpstr>
      <vt:lpstr>CLASIFICATORIO</vt:lpstr>
      <vt:lpstr>FACE DE GRUPOS</vt:lpstr>
      <vt:lpstr>L. GENERAL</vt:lpstr>
      <vt:lpstr>FILTRO JUGADORES</vt:lpstr>
      <vt:lpstr>PLANILLA X 3 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SALVATIERRA</dc:creator>
  <cp:keywords/>
  <dc:description/>
  <cp:lastModifiedBy>ISRAEL SALVATIERRA</cp:lastModifiedBy>
  <cp:revision/>
  <cp:lastPrinted>2025-07-12T17:45:46Z</cp:lastPrinted>
  <dcterms:created xsi:type="dcterms:W3CDTF">2025-06-19T21:06:54Z</dcterms:created>
  <dcterms:modified xsi:type="dcterms:W3CDTF">2025-07-12T23:07:59Z</dcterms:modified>
  <cp:category/>
  <cp:contentStatus/>
</cp:coreProperties>
</file>